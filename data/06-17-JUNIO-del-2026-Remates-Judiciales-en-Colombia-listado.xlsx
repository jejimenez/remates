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HOANA\Desktop\PROYECTOS\REMATES\2026 REMATES\SUBIR REMATES 2026\"/>
    </mc:Choice>
  </mc:AlternateContent>
  <bookViews>
    <workbookView xWindow="0" yWindow="0" windowWidth="28800" windowHeight="12330"/>
  </bookViews>
  <sheets>
    <sheet name="REMATES JUDICIALES " sheetId="1" r:id="rId1"/>
  </sheets>
  <definedNames>
    <definedName name="_xlnm._FilterDatabase" localSheetId="0" hidden="1">'REMATES JUDICIALES '!$A$2:$H$798</definedName>
    <definedName name="_xlnm.Print_Titles" localSheetId="0">'REMATES JUDICIALES '!$2:$2</definedName>
  </definedNames>
  <calcPr calcId="162913"/>
</workbook>
</file>

<file path=xl/calcChain.xml><?xml version="1.0" encoding="utf-8"?>
<calcChain xmlns="http://schemas.openxmlformats.org/spreadsheetml/2006/main">
  <c r="G273" i="1" l="1"/>
  <c r="G607" i="1"/>
  <c r="G594" i="1"/>
  <c r="G520" i="1"/>
  <c r="G128" i="1"/>
  <c r="G591" i="1"/>
  <c r="G597" i="1"/>
  <c r="G514" i="1"/>
  <c r="G706" i="1"/>
  <c r="G20" i="1"/>
  <c r="G134" i="1"/>
  <c r="G102" i="1"/>
  <c r="G19" i="1"/>
  <c r="G289" i="1"/>
  <c r="G449" i="1"/>
  <c r="G31" i="1"/>
  <c r="G361" i="1"/>
  <c r="G81" i="1"/>
  <c r="G90" i="1"/>
  <c r="G222" i="1"/>
  <c r="G382" i="1"/>
  <c r="G229" i="1"/>
  <c r="G352" i="1"/>
  <c r="G448" i="1"/>
  <c r="G507" i="1"/>
  <c r="G774" i="1"/>
  <c r="G12" i="1"/>
  <c r="G14" i="1"/>
  <c r="G724" i="1"/>
  <c r="G763" i="1"/>
  <c r="G786" i="1"/>
  <c r="G785" i="1"/>
  <c r="G794" i="1"/>
  <c r="G754" i="1"/>
  <c r="G779" i="1"/>
  <c r="G762" i="1"/>
  <c r="G742" i="1"/>
  <c r="G36" i="1"/>
  <c r="G76" i="1"/>
  <c r="G9" i="1"/>
  <c r="G58" i="1"/>
  <c r="G11" i="1"/>
  <c r="G68" i="1"/>
  <c r="G67" i="1"/>
  <c r="G25" i="1"/>
  <c r="G8" i="1"/>
  <c r="G52" i="1"/>
  <c r="G5" i="1"/>
  <c r="G35" i="1"/>
  <c r="G49" i="1"/>
  <c r="G349" i="1"/>
  <c r="G234" i="1"/>
  <c r="G348" i="1"/>
  <c r="G687" i="1"/>
  <c r="G416" i="1"/>
  <c r="G719" i="1"/>
  <c r="G689" i="1"/>
  <c r="G759" i="1"/>
  <c r="G374" i="1"/>
  <c r="G238" i="1"/>
  <c r="G245" i="1"/>
  <c r="G356" i="1"/>
  <c r="G347" i="1"/>
  <c r="G373" i="1"/>
  <c r="G272" i="1"/>
  <c r="G346" i="1"/>
  <c r="G447" i="1"/>
  <c r="G293" i="1"/>
  <c r="G345" i="1"/>
  <c r="G364" i="1"/>
  <c r="G502" i="1"/>
  <c r="G452" i="1"/>
  <c r="G271" i="1"/>
  <c r="G446" i="1"/>
  <c r="G445" i="1"/>
  <c r="G401" i="1"/>
  <c r="G343" i="1"/>
  <c r="G444" i="1"/>
  <c r="G362" i="1"/>
  <c r="G443" i="1"/>
  <c r="G360" i="1"/>
  <c r="G125" i="1"/>
  <c r="G292" i="1"/>
  <c r="G269" i="1"/>
  <c r="G454" i="1"/>
  <c r="G474" i="1"/>
  <c r="G268" i="1"/>
  <c r="G511" i="1"/>
  <c r="G442" i="1"/>
  <c r="G342" i="1"/>
  <c r="G341" i="1"/>
  <c r="G244" i="1"/>
  <c r="G405" i="1"/>
  <c r="G340" i="1"/>
  <c r="G376" i="1"/>
  <c r="G372" i="1"/>
  <c r="G626" i="1" l="1"/>
  <c r="G659" i="1"/>
  <c r="G653" i="1"/>
  <c r="G673" i="1"/>
  <c r="G627" i="1"/>
  <c r="G648" i="1"/>
  <c r="G608" i="1"/>
  <c r="G663" i="1"/>
  <c r="G639" i="1"/>
  <c r="G642" i="1"/>
  <c r="G545" i="1"/>
  <c r="G546" i="1"/>
  <c r="G553" i="1"/>
  <c r="G574" i="1"/>
  <c r="G556" i="1"/>
  <c r="G563" i="1"/>
  <c r="G554" i="1"/>
  <c r="G573" i="1"/>
  <c r="G557" i="1"/>
  <c r="G589" i="1"/>
  <c r="G231" i="1"/>
  <c r="G246" i="1"/>
  <c r="G235" i="1"/>
  <c r="G143" i="1"/>
  <c r="G206" i="1"/>
  <c r="G473" i="1"/>
  <c r="G498" i="1"/>
  <c r="G617" i="1"/>
  <c r="G726" i="1" l="1"/>
  <c r="G768" i="1"/>
  <c r="G767" i="1"/>
  <c r="G734" i="1"/>
  <c r="G669" i="1"/>
  <c r="G647" i="1"/>
  <c r="G646" i="1"/>
  <c r="G634" i="1"/>
  <c r="G616" i="1"/>
  <c r="G609" i="1"/>
  <c r="G704" i="1"/>
  <c r="G717" i="1"/>
  <c r="G700" i="1"/>
  <c r="G703" i="1"/>
  <c r="G677" i="1"/>
  <c r="G776" i="1"/>
  <c r="G603" i="1"/>
  <c r="G604" i="1"/>
  <c r="G579" i="1"/>
  <c r="G575" i="1"/>
  <c r="G536" i="1"/>
  <c r="G537" i="1"/>
  <c r="G538" i="1"/>
  <c r="G539" i="1"/>
  <c r="G515" i="1"/>
  <c r="G522" i="1"/>
  <c r="G493" i="1"/>
  <c r="G488" i="1"/>
  <c r="G495" i="1"/>
  <c r="G489" i="1"/>
  <c r="G484" i="1"/>
  <c r="G477" i="1"/>
  <c r="G475" i="1"/>
  <c r="G479" i="1"/>
  <c r="G476" i="1"/>
  <c r="G74" i="1"/>
  <c r="G3" i="1"/>
  <c r="G48" i="1"/>
  <c r="G39" i="1"/>
  <c r="G94" i="1"/>
  <c r="G95" i="1"/>
  <c r="G97" i="1"/>
  <c r="G99" i="1"/>
  <c r="G207" i="1"/>
  <c r="G114" i="1"/>
  <c r="G120" i="1"/>
  <c r="G219" i="1"/>
  <c r="G187" i="1"/>
  <c r="G127" i="1"/>
  <c r="G138" i="1"/>
  <c r="G178" i="1"/>
  <c r="G422" i="1"/>
  <c r="G355" i="1"/>
  <c r="G278" i="1"/>
  <c r="G512" i="1"/>
  <c r="G741" i="1"/>
  <c r="G281" i="1" l="1"/>
  <c r="G201" i="1"/>
  <c r="G680" i="1"/>
  <c r="G370" i="1"/>
  <c r="G285" i="1"/>
  <c r="G256" i="1"/>
  <c r="G705" i="1"/>
  <c r="G710" i="1"/>
  <c r="G323" i="1"/>
  <c r="G257" i="1"/>
  <c r="G325" i="1"/>
  <c r="G326" i="1"/>
  <c r="G379" i="1"/>
  <c r="G182" i="1"/>
  <c r="G151" i="1"/>
  <c r="G434" i="1"/>
  <c r="G435" i="1"/>
  <c r="G327" i="1"/>
  <c r="G258" i="1"/>
  <c r="G259" i="1"/>
  <c r="G286" i="1"/>
  <c r="G189" i="1"/>
  <c r="G707" i="1"/>
  <c r="G199" i="1"/>
  <c r="G197" i="1"/>
  <c r="G328" i="1"/>
  <c r="G712" i="1"/>
  <c r="G371" i="1"/>
  <c r="G713" i="1"/>
  <c r="G188" i="1"/>
  <c r="G465" i="1"/>
  <c r="G260" i="1"/>
  <c r="G132" i="1"/>
  <c r="G436" i="1"/>
  <c r="G711" i="1"/>
  <c r="G718" i="1"/>
  <c r="G527" i="1"/>
  <c r="G380" i="1"/>
  <c r="G261" i="1"/>
  <c r="G262" i="1"/>
  <c r="G499" i="1"/>
  <c r="G200" i="1"/>
  <c r="G330" i="1"/>
  <c r="G688" i="1"/>
  <c r="G263" i="1"/>
  <c r="G437" i="1"/>
  <c r="G510" i="1"/>
  <c r="G47" i="1"/>
  <c r="G23" i="1"/>
  <c r="G28" i="1"/>
  <c r="G13" i="1"/>
  <c r="G71" i="1"/>
  <c r="G752" i="1"/>
  <c r="G787" i="1"/>
  <c r="G731" i="1"/>
  <c r="G743" i="1"/>
  <c r="G744" i="1"/>
  <c r="G739" i="1"/>
  <c r="G748" i="1"/>
  <c r="G732" i="1"/>
  <c r="G753" i="1"/>
  <c r="G792" i="1"/>
  <c r="G793" i="1"/>
  <c r="G765" i="1"/>
  <c r="G772" i="1"/>
  <c r="G770" i="1"/>
  <c r="G771" i="1"/>
  <c r="G777" i="1"/>
  <c r="G749" i="1"/>
  <c r="G750" i="1"/>
  <c r="G788" i="1"/>
  <c r="G733" i="1"/>
  <c r="G756" i="1"/>
  <c r="G773" i="1"/>
  <c r="G264" i="1"/>
  <c r="G183" i="1"/>
  <c r="G233" i="1"/>
  <c r="G193" i="1"/>
  <c r="G534" i="1"/>
  <c r="G34" i="1"/>
  <c r="G331" i="1"/>
  <c r="G265" i="1"/>
  <c r="G578" i="1"/>
  <c r="G518" i="1"/>
  <c r="G217" i="1"/>
  <c r="G716" i="1"/>
  <c r="G453" i="1"/>
  <c r="G381" i="1"/>
  <c r="G16" i="1"/>
  <c r="G266" i="1"/>
  <c r="G409" i="1"/>
  <c r="G117" i="1"/>
  <c r="G438" i="1"/>
  <c r="G797" i="1"/>
  <c r="G439" i="1"/>
  <c r="G133" i="1"/>
  <c r="G690" i="1"/>
  <c r="G291" i="1"/>
  <c r="G519" i="1"/>
  <c r="G333" i="1"/>
  <c r="G417" i="1"/>
  <c r="G757" i="1"/>
  <c r="G487" i="1"/>
  <c r="G715" i="1"/>
  <c r="G440" i="1"/>
  <c r="G414" i="1"/>
  <c r="G709" i="1"/>
  <c r="G237" i="1"/>
  <c r="G698" i="1"/>
  <c r="G695" i="1"/>
  <c r="G334" i="1"/>
  <c r="G335" i="1"/>
  <c r="G336" i="1"/>
  <c r="G441" i="1"/>
  <c r="G399" i="1"/>
  <c r="G501" i="1"/>
  <c r="G241" i="1"/>
  <c r="G421" i="1"/>
  <c r="G581" i="1"/>
  <c r="G620" i="1"/>
  <c r="G387" i="1"/>
  <c r="G402" i="1"/>
  <c r="G561" i="1"/>
  <c r="G242" i="1"/>
  <c r="G243" i="1"/>
  <c r="G338" i="1"/>
  <c r="G290" i="1"/>
  <c r="G10" i="1"/>
  <c r="G208" i="1"/>
  <c r="G613" i="1"/>
  <c r="G650" i="1"/>
  <c r="G614" i="1"/>
  <c r="G615" i="1"/>
  <c r="G619" i="1"/>
  <c r="G610" i="1"/>
  <c r="G540" i="1"/>
  <c r="G625" i="1"/>
  <c r="G640" i="1"/>
  <c r="G564" i="1"/>
  <c r="G598" i="1"/>
  <c r="G57" i="1"/>
  <c r="G64" i="1"/>
  <c r="G142" i="1"/>
  <c r="G196" i="1"/>
  <c r="G378" i="1"/>
  <c r="G400" i="1"/>
  <c r="G459" i="1"/>
  <c r="G460" i="1"/>
  <c r="G472" i="1"/>
  <c r="G457" i="1"/>
  <c r="G227" i="1"/>
  <c r="G503" i="1"/>
  <c r="G529" i="1"/>
  <c r="G571" i="1"/>
  <c r="G559" i="1"/>
  <c r="G555" i="1"/>
  <c r="G572" i="1"/>
  <c r="G665" i="1"/>
  <c r="G667" i="1"/>
  <c r="G649" i="1"/>
  <c r="G708" i="1"/>
  <c r="G699" i="1"/>
  <c r="G694" i="1"/>
  <c r="G725" i="1"/>
  <c r="G751" i="1"/>
  <c r="G758" i="1"/>
  <c r="G86" i="1"/>
  <c r="G87" i="1"/>
  <c r="G186" i="1"/>
  <c r="G22" i="1"/>
  <c r="G635" i="1" l="1"/>
  <c r="G644" i="1"/>
  <c r="G643" i="1"/>
  <c r="G618" i="1"/>
  <c r="G621" i="1"/>
  <c r="G671" i="1"/>
  <c r="G531" i="1"/>
  <c r="G583" i="1"/>
  <c r="G389" i="1"/>
  <c r="G131" i="1"/>
  <c r="G126" i="1"/>
  <c r="G601" i="1"/>
  <c r="G137" i="1"/>
  <c r="G679" i="1"/>
  <c r="G38" i="1"/>
  <c r="G101" i="1"/>
  <c r="G321" i="1"/>
  <c r="G255" i="1"/>
  <c r="G130" i="1"/>
  <c r="G100" i="1"/>
  <c r="G113" i="1"/>
  <c r="G470" i="1"/>
  <c r="G320" i="1"/>
  <c r="G104" i="1"/>
  <c r="G240" i="1"/>
  <c r="G468" i="1"/>
  <c r="G388" i="1"/>
  <c r="G393" i="1"/>
  <c r="G798" i="1"/>
  <c r="G69" i="1"/>
  <c r="G277" i="1"/>
  <c r="G33" i="1"/>
  <c r="G254" i="1"/>
  <c r="G784" i="1"/>
  <c r="G783" i="1"/>
  <c r="G746" i="1"/>
  <c r="G755" i="1"/>
  <c r="G766" i="1"/>
  <c r="G789" i="1"/>
  <c r="G745" i="1"/>
  <c r="G769" i="1"/>
  <c r="G782" i="1"/>
  <c r="G737" i="1"/>
  <c r="G761" i="1"/>
  <c r="G781" i="1"/>
  <c r="G62" i="1"/>
  <c r="G77" i="1"/>
  <c r="G46" i="1"/>
  <c r="G15" i="1"/>
  <c r="G56" i="1"/>
  <c r="G45" i="1"/>
  <c r="G51" i="1"/>
  <c r="G61" i="1"/>
  <c r="G66" i="1"/>
  <c r="G192" i="1"/>
  <c r="G383" i="1"/>
  <c r="G654" i="1"/>
  <c r="G433" i="1"/>
  <c r="G317" i="1"/>
  <c r="G432" i="1"/>
  <c r="G185" i="1"/>
  <c r="G253" i="1"/>
  <c r="G252" i="1"/>
  <c r="G513" i="1"/>
  <c r="G500" i="1"/>
  <c r="G523" i="1"/>
  <c r="G251" i="1"/>
  <c r="G284" i="1"/>
  <c r="G221" i="1"/>
  <c r="G394" i="1"/>
  <c r="G508" i="1"/>
  <c r="G316" i="1"/>
  <c r="G369" i="1"/>
  <c r="G315" i="1"/>
  <c r="G314" i="1"/>
  <c r="G250" i="1"/>
  <c r="G353" i="1"/>
  <c r="G686" i="1"/>
  <c r="G230" i="1"/>
  <c r="G363" i="1"/>
  <c r="G714" i="1"/>
  <c r="G462" i="1"/>
  <c r="G135" i="1"/>
  <c r="G521" i="1"/>
  <c r="G368" i="1"/>
  <c r="G226" i="1"/>
  <c r="G721" i="1"/>
  <c r="G720" i="1"/>
  <c r="G656" i="1" l="1"/>
  <c r="G657" i="1"/>
  <c r="G658" i="1"/>
  <c r="G655" i="1"/>
  <c r="G641" i="1"/>
  <c r="G631" i="1"/>
  <c r="G632" i="1"/>
  <c r="G88" i="1"/>
  <c r="G633" i="1"/>
  <c r="G666" i="1"/>
  <c r="G205" i="1"/>
  <c r="G152" i="1"/>
  <c r="G153" i="1"/>
  <c r="G154" i="1"/>
  <c r="G322" i="1"/>
  <c r="G593" i="1"/>
  <c r="G605" i="1"/>
  <c r="G599" i="1"/>
  <c r="G602" i="1"/>
  <c r="G160" i="1"/>
  <c r="G172" i="1"/>
  <c r="G211" i="1"/>
  <c r="G638" i="1"/>
  <c r="G218" i="1"/>
  <c r="G223" i="1"/>
  <c r="G525" i="1"/>
  <c r="G541" i="1"/>
  <c r="G542" i="1"/>
  <c r="G562" i="1"/>
  <c r="G552" i="1"/>
  <c r="G586" i="1"/>
  <c r="G661" i="1"/>
  <c r="G623" i="1"/>
  <c r="G624" i="1"/>
  <c r="G674" i="1"/>
  <c r="G722" i="1"/>
  <c r="G747" i="1"/>
  <c r="G738" i="1"/>
  <c r="G83" i="1"/>
  <c r="G82" i="1"/>
  <c r="G148" i="1" l="1"/>
  <c r="G145" i="1"/>
  <c r="G147" i="1"/>
  <c r="G146" i="1"/>
  <c r="G213" i="1"/>
  <c r="G204" i="1"/>
  <c r="G483" i="1"/>
  <c r="G482" i="1"/>
  <c r="G478" i="1"/>
  <c r="G481" i="1"/>
  <c r="G485" i="1"/>
  <c r="G496" i="1"/>
  <c r="G532" i="1"/>
  <c r="G528" i="1"/>
  <c r="G526" i="1"/>
  <c r="G530" i="1"/>
  <c r="G551" i="1"/>
  <c r="G606" i="1"/>
  <c r="G683" i="1"/>
  <c r="G682" i="1"/>
  <c r="G685" i="1"/>
  <c r="G675" i="1"/>
  <c r="G681" i="1"/>
  <c r="G684" i="1"/>
  <c r="G676" i="1"/>
  <c r="G678" i="1"/>
  <c r="G697" i="1"/>
  <c r="G696" i="1"/>
  <c r="G55" i="1" l="1"/>
  <c r="G691" i="1"/>
  <c r="G791" i="1"/>
  <c r="G375" i="1"/>
  <c r="G365" i="1"/>
  <c r="G429" i="1"/>
  <c r="G385" i="1"/>
  <c r="G236" i="1"/>
  <c r="G304" i="1"/>
  <c r="G305" i="1"/>
  <c r="G397" i="1"/>
  <c r="G430" i="1"/>
  <c r="G386" i="1"/>
  <c r="G279" i="1"/>
  <c r="G469" i="1"/>
  <c r="G70" i="1"/>
  <c r="G44" i="1"/>
  <c r="G53" i="1"/>
  <c r="G6" i="1"/>
  <c r="G728" i="1"/>
  <c r="G764" i="1"/>
  <c r="G194" i="1"/>
  <c r="G384" i="1"/>
  <c r="G458" i="1"/>
  <c r="G577" i="1"/>
  <c r="G600" i="1"/>
  <c r="G456" i="1"/>
  <c r="G467" i="1"/>
  <c r="G396" i="1"/>
  <c r="G141" i="1"/>
  <c r="G630" i="1"/>
  <c r="G651" i="1"/>
  <c r="G652" i="1"/>
  <c r="G544" i="1"/>
  <c r="G549" i="1"/>
  <c r="G26" i="1"/>
  <c r="G59" i="1"/>
  <c r="G21" i="1"/>
  <c r="G98" i="1"/>
  <c r="G92" i="1"/>
  <c r="G307" i="1"/>
  <c r="G177" i="1"/>
  <c r="G176" i="1"/>
  <c r="G149" i="1"/>
  <c r="G161" i="1"/>
  <c r="G164" i="1"/>
  <c r="G156" i="1"/>
  <c r="G165" i="1"/>
  <c r="G166" i="1"/>
  <c r="G167" i="1"/>
  <c r="G168" i="1"/>
  <c r="G157" i="1"/>
  <c r="G159" i="1"/>
  <c r="G169" i="1"/>
  <c r="G155" i="1"/>
  <c r="G175" i="1"/>
  <c r="G158" i="1"/>
  <c r="G170" i="1"/>
  <c r="G209" i="1"/>
  <c r="G224" i="1"/>
  <c r="G505" i="1"/>
  <c r="G506" i="1"/>
  <c r="G533" i="1"/>
  <c r="G535" i="1"/>
  <c r="G566" i="1"/>
  <c r="G570" i="1"/>
  <c r="G567" i="1"/>
  <c r="G550" i="1"/>
  <c r="G612" i="1"/>
  <c r="G672" i="1"/>
  <c r="G670" i="1"/>
  <c r="G30" i="1"/>
  <c r="G308" i="1"/>
  <c r="G309" i="1"/>
  <c r="G366" i="1"/>
  <c r="G419" i="1"/>
  <c r="G420" i="1"/>
  <c r="G431" i="1"/>
  <c r="G249" i="1"/>
  <c r="G392" i="1"/>
  <c r="G310" i="1"/>
  <c r="G311" i="1"/>
  <c r="G367" i="1"/>
  <c r="G398" i="1"/>
  <c r="G93" i="1"/>
  <c r="G103" i="1"/>
  <c r="G106" i="1"/>
  <c r="G108" i="1"/>
  <c r="G110" i="1"/>
  <c r="G109" i="1"/>
  <c r="G105" i="1"/>
  <c r="G136" i="1"/>
  <c r="G129" i="1"/>
  <c r="G428" i="1" l="1"/>
  <c r="G288" i="1"/>
  <c r="G492" i="1"/>
  <c r="G191" i="1"/>
  <c r="G410" i="1"/>
  <c r="G516" i="1"/>
  <c r="G42" i="1"/>
  <c r="G43" i="1"/>
  <c r="G760" i="1"/>
  <c r="G775" i="1"/>
  <c r="G225" i="1"/>
  <c r="G216" i="1"/>
  <c r="G181" i="1"/>
  <c r="G595" i="1"/>
  <c r="G596" i="1"/>
  <c r="G558" i="1"/>
  <c r="G239" i="1"/>
  <c r="G203" i="1"/>
  <c r="G645" i="1"/>
  <c r="G629" i="1"/>
  <c r="G18" i="1"/>
  <c r="G54" i="1"/>
  <c r="G122" i="1"/>
  <c r="G123" i="1"/>
  <c r="G171" i="1"/>
  <c r="G407" i="1"/>
  <c r="G228" i="1"/>
  <c r="G565" i="1"/>
  <c r="G664" i="1"/>
  <c r="G85" i="1"/>
  <c r="G80" i="1"/>
  <c r="G576" i="1"/>
  <c r="G587" i="1"/>
  <c r="G584" i="1"/>
  <c r="G96" i="1" l="1"/>
  <c r="G139" i="1"/>
  <c r="G124" i="1"/>
  <c r="G215" i="1"/>
  <c r="G163" i="1"/>
  <c r="G426" i="1"/>
  <c r="G395" i="1"/>
  <c r="G451" i="1"/>
  <c r="G427" i="1"/>
  <c r="G412" i="1"/>
  <c r="G390" i="1" l="1"/>
  <c r="G300" i="1"/>
  <c r="G301" i="1"/>
  <c r="G75" i="1"/>
  <c r="G210" i="1"/>
  <c r="G560" i="1"/>
  <c r="G17" i="1"/>
  <c r="G302" i="1"/>
  <c r="G140" i="1"/>
  <c r="G637" i="1"/>
  <c r="G628" i="1"/>
  <c r="G144" i="1"/>
  <c r="G180" i="1"/>
  <c r="G198" i="1"/>
  <c r="G214" i="1"/>
  <c r="G220" i="1"/>
  <c r="G524" i="1"/>
  <c r="G668" i="1"/>
  <c r="G568" i="1"/>
  <c r="G569" i="1"/>
  <c r="G190" i="1"/>
  <c r="G611" i="1" l="1"/>
  <c r="G298" i="1"/>
  <c r="G455" i="1"/>
  <c r="G464" i="1"/>
  <c r="G112" i="1"/>
  <c r="G411" i="1"/>
  <c r="G425" i="1" l="1"/>
  <c r="G248" i="1"/>
  <c r="G280" i="1"/>
  <c r="G480" i="1"/>
  <c r="G111" i="1" l="1"/>
  <c r="G89" i="1"/>
  <c r="G84" i="1"/>
  <c r="G730" i="1"/>
  <c r="G790" i="1"/>
  <c r="G729" i="1"/>
  <c r="G796" i="1"/>
  <c r="G662" i="1"/>
  <c r="G543" i="1"/>
  <c r="G504" i="1"/>
  <c r="G622" i="1"/>
  <c r="G450" i="1"/>
  <c r="G408" i="1"/>
  <c r="G275" i="1"/>
  <c r="G274" i="1"/>
  <c r="G780" i="1"/>
  <c r="G778" i="1" l="1"/>
  <c r="G297" i="1" l="1"/>
  <c r="G461" i="1"/>
  <c r="G212" i="1"/>
  <c r="G162" i="1"/>
  <c r="G107" i="1"/>
  <c r="G660" i="1"/>
  <c r="G491" i="1"/>
  <c r="G27" i="1"/>
  <c r="G377" i="1"/>
  <c r="G41" i="1"/>
  <c r="G296" i="1"/>
  <c r="G463" i="1"/>
  <c r="G283" i="1" l="1"/>
  <c r="G424" i="1"/>
  <c r="G497" i="1" l="1"/>
  <c r="G490" i="1" l="1"/>
  <c r="G413" i="1"/>
  <c r="G403" i="1"/>
  <c r="G294" i="1"/>
  <c r="G423" i="1"/>
  <c r="G509" i="1"/>
  <c r="G32" i="1" l="1"/>
  <c r="G494" i="1" l="1"/>
  <c r="G486" i="1"/>
  <c r="G736" i="1"/>
  <c r="G735" i="1" l="1"/>
  <c r="G701" i="1"/>
  <c r="G40" i="1"/>
  <c r="G79" i="1"/>
  <c r="G78" i="1"/>
  <c r="G72" i="1" l="1"/>
  <c r="G73" i="1"/>
  <c r="G547" i="1" l="1"/>
  <c r="G247" i="1" l="1"/>
  <c r="G7" i="1"/>
  <c r="G636" i="1"/>
  <c r="G115" i="1" l="1"/>
  <c r="G121" i="1"/>
  <c r="G119" i="1"/>
  <c r="G592" i="1" l="1"/>
</calcChain>
</file>

<file path=xl/sharedStrings.xml><?xml version="1.0" encoding="utf-8"?>
<sst xmlns="http://schemas.openxmlformats.org/spreadsheetml/2006/main" count="2450" uniqueCount="373">
  <si>
    <t>CÓDIGO</t>
  </si>
  <si>
    <t>Fecha del remate</t>
  </si>
  <si>
    <t>Ciudad</t>
  </si>
  <si>
    <t>Tipo de bien</t>
  </si>
  <si>
    <t>Oferta Mínima</t>
  </si>
  <si>
    <t>Antioquia</t>
  </si>
  <si>
    <t>Bogotá</t>
  </si>
  <si>
    <t>Cundinamarca</t>
  </si>
  <si>
    <t>Apartamento</t>
  </si>
  <si>
    <t>Predio Rural</t>
  </si>
  <si>
    <t>Lote</t>
  </si>
  <si>
    <t>Vehículo</t>
  </si>
  <si>
    <t>Boyacá</t>
  </si>
  <si>
    <t>Soacha</t>
  </si>
  <si>
    <t>Inmueble</t>
  </si>
  <si>
    <t>Casa</t>
  </si>
  <si>
    <t>Cúcuta</t>
  </si>
  <si>
    <t>Norte de Santander</t>
  </si>
  <si>
    <t>Tolima</t>
  </si>
  <si>
    <t>Tunja</t>
  </si>
  <si>
    <t>Bucaramanga</t>
  </si>
  <si>
    <t>Santander</t>
  </si>
  <si>
    <t>Caldas</t>
  </si>
  <si>
    <t>Villavicencio</t>
  </si>
  <si>
    <t>Meta</t>
  </si>
  <si>
    <t>Valle</t>
  </si>
  <si>
    <t>Pereira</t>
  </si>
  <si>
    <t>Risaralda</t>
  </si>
  <si>
    <t>Finca</t>
  </si>
  <si>
    <t>Cali</t>
  </si>
  <si>
    <t>Local</t>
  </si>
  <si>
    <t>Manizales</t>
  </si>
  <si>
    <t>Cartagena</t>
  </si>
  <si>
    <t>Barranquilla</t>
  </si>
  <si>
    <t>Atlántico</t>
  </si>
  <si>
    <t>Nariño</t>
  </si>
  <si>
    <t>Huila</t>
  </si>
  <si>
    <t>Predio Urbano</t>
  </si>
  <si>
    <t>Avalúo</t>
  </si>
  <si>
    <t>Funza</t>
  </si>
  <si>
    <t>Medellín</t>
  </si>
  <si>
    <t>Valledupar</t>
  </si>
  <si>
    <t>Departamento</t>
  </si>
  <si>
    <t>Quindío</t>
  </si>
  <si>
    <t>Lote con Casa</t>
  </si>
  <si>
    <t>50% Inmueble</t>
  </si>
  <si>
    <t>Cauca</t>
  </si>
  <si>
    <t>Cesar</t>
  </si>
  <si>
    <t>Girardot</t>
  </si>
  <si>
    <t>Palmira</t>
  </si>
  <si>
    <t>Córdoba</t>
  </si>
  <si>
    <t>Bolívar</t>
  </si>
  <si>
    <t>Armenia</t>
  </si>
  <si>
    <t>Bello</t>
  </si>
  <si>
    <t>Referencia</t>
  </si>
  <si>
    <t>Arauca</t>
  </si>
  <si>
    <t>Parqueadero</t>
  </si>
  <si>
    <t>Rionegro</t>
  </si>
  <si>
    <t>Turbaco</t>
  </si>
  <si>
    <t>Casa Lote</t>
  </si>
  <si>
    <t>Tuluá</t>
  </si>
  <si>
    <t>Apartamento y garaje</t>
  </si>
  <si>
    <t>Bolivar</t>
  </si>
  <si>
    <t>Pamplona</t>
  </si>
  <si>
    <t>Soledad</t>
  </si>
  <si>
    <t>Putumayo</t>
  </si>
  <si>
    <t>jueves, 27 de noviembre de 2025</t>
  </si>
  <si>
    <t>viernes, 28 de noviembre de 2025</t>
  </si>
  <si>
    <t>Magangué</t>
  </si>
  <si>
    <t>jueves, 11 de diciembre de 2025</t>
  </si>
  <si>
    <t>jueves, 15 de enero de 2026</t>
  </si>
  <si>
    <t>Floridablanca</t>
  </si>
  <si>
    <t>Flandes</t>
  </si>
  <si>
    <t>Fusagasugá</t>
  </si>
  <si>
    <t xml:space="preserve">6.500.000
</t>
  </si>
  <si>
    <t>Florencia</t>
  </si>
  <si>
    <t>Caquetá</t>
  </si>
  <si>
    <t>Motocicleta</t>
  </si>
  <si>
    <t>Suzuki 2022</t>
  </si>
  <si>
    <t>Dosquebradas</t>
  </si>
  <si>
    <t>Barrancabermeja</t>
  </si>
  <si>
    <t>Chía</t>
  </si>
  <si>
    <t>Santa Marta</t>
  </si>
  <si>
    <t>Magdalena</t>
  </si>
  <si>
    <t>Pasto</t>
  </si>
  <si>
    <t>Popayán</t>
  </si>
  <si>
    <t>Duitama</t>
  </si>
  <si>
    <t>Villamaría</t>
  </si>
  <si>
    <t>Plato</t>
  </si>
  <si>
    <t>Cajicá</t>
  </si>
  <si>
    <t>Madrid</t>
  </si>
  <si>
    <t>Quindio</t>
  </si>
  <si>
    <t>Mazda 2020</t>
  </si>
  <si>
    <t>Casa con Lote</t>
  </si>
  <si>
    <t>Ibagué</t>
  </si>
  <si>
    <t>Inmuebles</t>
  </si>
  <si>
    <t>Honda</t>
  </si>
  <si>
    <t>Caucasia</t>
  </si>
  <si>
    <t>Santa Bárbara</t>
  </si>
  <si>
    <t>Enseres</t>
  </si>
  <si>
    <t>Montería</t>
  </si>
  <si>
    <t>Sucre</t>
  </si>
  <si>
    <t>Sincelejo</t>
  </si>
  <si>
    <t>Venecia</t>
  </si>
  <si>
    <t>Solar con Casa</t>
  </si>
  <si>
    <t>Apartamento y Garaje</t>
  </si>
  <si>
    <t>Macanal</t>
  </si>
  <si>
    <t>Espinal</t>
  </si>
  <si>
    <t>Puerto Gaitán</t>
  </si>
  <si>
    <t xml:space="preserve">Predio Rural </t>
  </si>
  <si>
    <t>La Mesa</t>
  </si>
  <si>
    <t xml:space="preserve">Madrid </t>
  </si>
  <si>
    <t>20% Inmueble</t>
  </si>
  <si>
    <t>Inmueble Urbano</t>
  </si>
  <si>
    <t>Mazda 2007</t>
  </si>
  <si>
    <t>Tabio</t>
  </si>
  <si>
    <t>Cartago</t>
  </si>
  <si>
    <t>1.99.006.000</t>
  </si>
  <si>
    <t>Jardín</t>
  </si>
  <si>
    <t>Apartamento y Parqueadero</t>
  </si>
  <si>
    <t>Chinchiná</t>
  </si>
  <si>
    <t>Inmueble Rural</t>
  </si>
  <si>
    <t>San Antonio de Codazzi</t>
  </si>
  <si>
    <t>Apartamento 1</t>
  </si>
  <si>
    <t>Apartamento 2</t>
  </si>
  <si>
    <t>Lenguazaque</t>
  </si>
  <si>
    <t>Arauquita</t>
  </si>
  <si>
    <t>Granada</t>
  </si>
  <si>
    <t>Caicedonia</t>
  </si>
  <si>
    <t>Sevilla</t>
  </si>
  <si>
    <t>Chevrolet Sedan</t>
  </si>
  <si>
    <t>Tame</t>
  </si>
  <si>
    <t>Tangua</t>
  </si>
  <si>
    <t>Neiva</t>
  </si>
  <si>
    <t>Oporapa</t>
  </si>
  <si>
    <t>Lote con Construcción</t>
  </si>
  <si>
    <t>50% Casa</t>
  </si>
  <si>
    <t>Oficina</t>
  </si>
  <si>
    <t>Sogamoso</t>
  </si>
  <si>
    <t>Pacho</t>
  </si>
  <si>
    <t>Candelaria</t>
  </si>
  <si>
    <t>Casanare</t>
  </si>
  <si>
    <t>Ricaurte</t>
  </si>
  <si>
    <t>Santa Rosa de Osos</t>
  </si>
  <si>
    <t>Tocaima</t>
  </si>
  <si>
    <t>Lote con Mejoras</t>
  </si>
  <si>
    <t>Cumaral</t>
  </si>
  <si>
    <t>Vivienda</t>
  </si>
  <si>
    <t>La Dorada</t>
  </si>
  <si>
    <t>Rio de Oro</t>
  </si>
  <si>
    <t>Los Patios</t>
  </si>
  <si>
    <t>Hyundai 2013</t>
  </si>
  <si>
    <t>Ocaña</t>
  </si>
  <si>
    <t>Microbus Non Plus 2002</t>
  </si>
  <si>
    <t>Victoria</t>
  </si>
  <si>
    <t>Vista Hermosa</t>
  </si>
  <si>
    <t>Villanueva</t>
  </si>
  <si>
    <t>La Guajira</t>
  </si>
  <si>
    <t xml:space="preserve">14.020 ACCIONES </t>
  </si>
  <si>
    <t>Yopal</t>
  </si>
  <si>
    <t>Renault 2014</t>
  </si>
  <si>
    <t>La Victoria</t>
  </si>
  <si>
    <t>Anapoima</t>
  </si>
  <si>
    <t>Zipaquirá</t>
  </si>
  <si>
    <t>Mercedez Benz 2017</t>
  </si>
  <si>
    <t>Aguachica</t>
  </si>
  <si>
    <t>Casa con terreno</t>
  </si>
  <si>
    <t>Socorro</t>
  </si>
  <si>
    <t>Fortul</t>
  </si>
  <si>
    <t>Lote Rural</t>
  </si>
  <si>
    <t>La Palma</t>
  </si>
  <si>
    <t>Bituima</t>
  </si>
  <si>
    <t>Casa-Lote</t>
  </si>
  <si>
    <t>Mocoa</t>
  </si>
  <si>
    <t>Circasia</t>
  </si>
  <si>
    <t>Alvarado</t>
  </si>
  <si>
    <t>50.479% Lote</t>
  </si>
  <si>
    <t>Audi Roadster 2018</t>
  </si>
  <si>
    <t>Cota</t>
  </si>
  <si>
    <t>50% Apartamento</t>
  </si>
  <si>
    <t>Calarcá</t>
  </si>
  <si>
    <t>Melgar</t>
  </si>
  <si>
    <t>El Rosal</t>
  </si>
  <si>
    <t>Apartamento y Local</t>
  </si>
  <si>
    <t>Yacopí</t>
  </si>
  <si>
    <t>Sabaneta</t>
  </si>
  <si>
    <t>Apartadó</t>
  </si>
  <si>
    <t>Buga</t>
  </si>
  <si>
    <t>Jamundi</t>
  </si>
  <si>
    <t>El Águila</t>
  </si>
  <si>
    <t>El Bordo</t>
  </si>
  <si>
    <t>Sopó</t>
  </si>
  <si>
    <t>Puerto Asís</t>
  </si>
  <si>
    <t>San Vicente de Chucurí</t>
  </si>
  <si>
    <t>Málaga</t>
  </si>
  <si>
    <t>Simacota</t>
  </si>
  <si>
    <t>Guarne</t>
  </si>
  <si>
    <t>25% Inmueble</t>
  </si>
  <si>
    <t>Puerto Colombia</t>
  </si>
  <si>
    <t>Neira</t>
  </si>
  <si>
    <t>Apartaestudio</t>
  </si>
  <si>
    <t>Renault 2019</t>
  </si>
  <si>
    <t>16,66% Inmueble</t>
  </si>
  <si>
    <t>Camioneta Peugeot 2019</t>
  </si>
  <si>
    <t>Pelaya</t>
  </si>
  <si>
    <t>San Martín</t>
  </si>
  <si>
    <t>Albán</t>
  </si>
  <si>
    <t>Garaje</t>
  </si>
  <si>
    <t>50% Garaje</t>
  </si>
  <si>
    <t>BMW 2012</t>
  </si>
  <si>
    <t>Chevrolet 1996</t>
  </si>
  <si>
    <t>Chevrolet 2014</t>
  </si>
  <si>
    <t>Lote-Casa</t>
  </si>
  <si>
    <t>Tolú</t>
  </si>
  <si>
    <t>Pueblo Rico</t>
  </si>
  <si>
    <t>Ipiales</t>
  </si>
  <si>
    <t xml:space="preserve">Inmueble </t>
  </si>
  <si>
    <t>Renault 2017</t>
  </si>
  <si>
    <t>Maicao</t>
  </si>
  <si>
    <t>Chevrolet 2018</t>
  </si>
  <si>
    <t>Palermo</t>
  </si>
  <si>
    <t>AKT 2014</t>
  </si>
  <si>
    <t>Rivera</t>
  </si>
  <si>
    <t>Anserma</t>
  </si>
  <si>
    <t>Belarcázar</t>
  </si>
  <si>
    <t>60% Predio Rural</t>
  </si>
  <si>
    <t>Aguadas</t>
  </si>
  <si>
    <t>Puerto Wilches</t>
  </si>
  <si>
    <t>Valle De San Juan</t>
  </si>
  <si>
    <t>Apulo</t>
  </si>
  <si>
    <t xml:space="preserve">Renault 2014 </t>
  </si>
  <si>
    <t>Sachica</t>
  </si>
  <si>
    <t>10% Inmueble</t>
  </si>
  <si>
    <t>Mazda</t>
  </si>
  <si>
    <t>Puerto Gaitan</t>
  </si>
  <si>
    <t>AKT 2013</t>
  </si>
  <si>
    <t>Mercedes Benz 2016</t>
  </si>
  <si>
    <t>Piedecuesta</t>
  </si>
  <si>
    <t>Lote con construcción</t>
  </si>
  <si>
    <t>Onix 2023</t>
  </si>
  <si>
    <t>Carmen de Viboral</t>
  </si>
  <si>
    <t>Titiribí</t>
  </si>
  <si>
    <t>Déposito</t>
  </si>
  <si>
    <t>Florida</t>
  </si>
  <si>
    <t>Apartamento garaje y depósito</t>
  </si>
  <si>
    <t xml:space="preserve">Lote con construcción </t>
  </si>
  <si>
    <t>Villeta</t>
  </si>
  <si>
    <t>Pandi</t>
  </si>
  <si>
    <t>Facatativá</t>
  </si>
  <si>
    <t>Miranda</t>
  </si>
  <si>
    <t>Tinjacá</t>
  </si>
  <si>
    <t>Porcentaje Vehículo</t>
  </si>
  <si>
    <t>Camioneta Nissan 2016</t>
  </si>
  <si>
    <t xml:space="preserve">Puente Nacional 
</t>
  </si>
  <si>
    <t>El Carmen de Chucuri</t>
  </si>
  <si>
    <t>Saravena</t>
  </si>
  <si>
    <t>San Alberto</t>
  </si>
  <si>
    <t>Chevrolet Sail 2018</t>
  </si>
  <si>
    <t>Camioneta JMC 2019</t>
  </si>
  <si>
    <t>Ciénaga de Oro</t>
  </si>
  <si>
    <t>Agua de Dios</t>
  </si>
  <si>
    <t>Ovejas</t>
  </si>
  <si>
    <t xml:space="preserve">Villahermosa </t>
  </si>
  <si>
    <t>Chigorodó</t>
  </si>
  <si>
    <t>Puerto Tejada</t>
  </si>
  <si>
    <t>Chevrolet Sail</t>
  </si>
  <si>
    <t>Libano</t>
  </si>
  <si>
    <t>Mosquera</t>
  </si>
  <si>
    <t>1.O84.350.000</t>
  </si>
  <si>
    <t>13,33% Apartamento</t>
  </si>
  <si>
    <t>Tamará</t>
  </si>
  <si>
    <t>Apartamento y parqueadero</t>
  </si>
  <si>
    <t>Mariquita</t>
  </si>
  <si>
    <t>Chevrolet 2010</t>
  </si>
  <si>
    <t>Paz De Ariporo</t>
  </si>
  <si>
    <t>Tejo</t>
  </si>
  <si>
    <t>Oicata</t>
  </si>
  <si>
    <t>Líbano</t>
  </si>
  <si>
    <t>Purificación</t>
  </si>
  <si>
    <t>La Florida</t>
  </si>
  <si>
    <t>Cabuyaro</t>
  </si>
  <si>
    <t>Carmen de Apicala</t>
  </si>
  <si>
    <t>Cuota parte Inmueble</t>
  </si>
  <si>
    <t>Puerto Rico</t>
  </si>
  <si>
    <t>Girardota</t>
  </si>
  <si>
    <t>Jericó</t>
  </si>
  <si>
    <t>Tulua</t>
  </si>
  <si>
    <t>Jamundí</t>
  </si>
  <si>
    <t>Ford Fiesta 2011</t>
  </si>
  <si>
    <t>25% Apartamento</t>
  </si>
  <si>
    <t>Balboa</t>
  </si>
  <si>
    <t>San Pedro de Cartago</t>
  </si>
  <si>
    <t>Itsmina</t>
  </si>
  <si>
    <t>Chocó</t>
  </si>
  <si>
    <t>Machetá</t>
  </si>
  <si>
    <t>Suziki 2014</t>
  </si>
  <si>
    <t>Yumbo</t>
  </si>
  <si>
    <t>Oicatá</t>
  </si>
  <si>
    <t>2 Lotes</t>
  </si>
  <si>
    <t>Chaparral</t>
  </si>
  <si>
    <t>Renault 1969</t>
  </si>
  <si>
    <t>2 Inmuebles</t>
  </si>
  <si>
    <t>Chevrolet 2020</t>
  </si>
  <si>
    <t>Simijaca</t>
  </si>
  <si>
    <t>Facatativa</t>
  </si>
  <si>
    <t>Guatavita</t>
  </si>
  <si>
    <t>Kia picanto 2010</t>
  </si>
  <si>
    <t>Edificio</t>
  </si>
  <si>
    <t>La Paz</t>
  </si>
  <si>
    <t>Lebrija</t>
  </si>
  <si>
    <t>Cáchira</t>
  </si>
  <si>
    <t>33.35% Lote</t>
  </si>
  <si>
    <t>12.5% Inmueble</t>
  </si>
  <si>
    <t>Puerto Berrio</t>
  </si>
  <si>
    <t>Chia</t>
  </si>
  <si>
    <t>Sopo</t>
  </si>
  <si>
    <t>Fuentedeoro</t>
  </si>
  <si>
    <t>Villa del Rosario</t>
  </si>
  <si>
    <t>Chevrolet 2015</t>
  </si>
  <si>
    <t>San Gil</t>
  </si>
  <si>
    <t xml:space="preserve">San Vicente de Chucurí
</t>
  </si>
  <si>
    <t>Landázuri</t>
  </si>
  <si>
    <t>Lote y Construcción</t>
  </si>
  <si>
    <t>Guamo</t>
  </si>
  <si>
    <t>Buenaventura</t>
  </si>
  <si>
    <t>Aguazul</t>
  </si>
  <si>
    <t>Pijao</t>
  </si>
  <si>
    <t>25.33415% Lote</t>
  </si>
  <si>
    <t>Guadalajara de Buga</t>
  </si>
  <si>
    <t xml:space="preserve">Florida </t>
  </si>
  <si>
    <t>50% Lote</t>
  </si>
  <si>
    <t>Herveo</t>
  </si>
  <si>
    <t>Obando</t>
  </si>
  <si>
    <t>Villagarzón</t>
  </si>
  <si>
    <t>Tumaco</t>
  </si>
  <si>
    <t>Fonseca</t>
  </si>
  <si>
    <t>Algeciras</t>
  </si>
  <si>
    <t>Foton 2022</t>
  </si>
  <si>
    <t>Amagá</t>
  </si>
  <si>
    <t>Toyota fortuner 2009</t>
  </si>
  <si>
    <t>Astream</t>
  </si>
  <si>
    <t>Santa Rosa del Sur</t>
  </si>
  <si>
    <t>Monteria</t>
  </si>
  <si>
    <t>Samanà</t>
  </si>
  <si>
    <t xml:space="preserve">14,29% Apartamento </t>
  </si>
  <si>
    <t>Bajaj 2019</t>
  </si>
  <si>
    <t>Puerto Parra</t>
  </si>
  <si>
    <t>Onzaga</t>
  </si>
  <si>
    <t>Girón</t>
  </si>
  <si>
    <t>Barbosa</t>
  </si>
  <si>
    <t>HYUNDAI 2006</t>
  </si>
  <si>
    <t>Guaduas</t>
  </si>
  <si>
    <t>Fuente de Oro</t>
  </si>
  <si>
    <t>Chevrolet 2016</t>
  </si>
  <si>
    <t>Nissan 2008</t>
  </si>
  <si>
    <t>Campero 2004</t>
  </si>
  <si>
    <t>Carmen de Apicalá</t>
  </si>
  <si>
    <t>San Antonio</t>
  </si>
  <si>
    <t>Tequendama</t>
  </si>
  <si>
    <t>3 Apartamentos</t>
  </si>
  <si>
    <t>Quindió</t>
  </si>
  <si>
    <t>Lote con edificación</t>
  </si>
  <si>
    <t>Sopetrán</t>
  </si>
  <si>
    <t>Cerrito</t>
  </si>
  <si>
    <t>Santander de Quilichao</t>
  </si>
  <si>
    <t>Guamal</t>
  </si>
  <si>
    <t xml:space="preserve"> Vehículo</t>
  </si>
  <si>
    <t>Casa Lote y Déposito</t>
  </si>
  <si>
    <t>Deposito</t>
  </si>
  <si>
    <t>Santa Rosa de Cabal</t>
  </si>
  <si>
    <t>33,3% Inmueble</t>
  </si>
  <si>
    <t>Agustín Codazzi</t>
  </si>
  <si>
    <t>Acacías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</si>
</sst>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F800]dddd\,\ mmmm\ dd\,\ yyyy"/>
  </numFmts>
  <fonts count="12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7"/>
      <color theme="1"/>
      <name val="Calibri"/>
      <family val="2"/>
    </font>
    <font>
      <b/>
      <sz val="13"/>
      <color theme="1"/>
      <name val="Calibri"/>
      <family val="2"/>
    </font>
    <font>
      <sz val="26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1"/>
      <name val="Calibri"/>
      <family val="2"/>
    </font>
    <font>
      <sz val="2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8">
    <xf numFmtId="0" fontId="0" fillId="0" borderId="0" xfId="0"/>
    <xf numFmtId="164" fontId="2" fillId="0" borderId="1" xfId="0" applyNumberFormat="1" applyFont="1" applyBorder="1" applyAlignment="1">
      <alignment horizontal="center" shrinkToFi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3" fontId="7" fillId="2" borderId="1" xfId="0" applyNumberFormat="1" applyFont="1" applyFill="1" applyBorder="1" applyAlignment="1">
      <alignment horizontal="center" vertical="center" shrinkToFit="1"/>
    </xf>
    <xf numFmtId="3" fontId="11" fillId="2" borderId="1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shrinkToFit="1"/>
    </xf>
    <xf numFmtId="164" fontId="8" fillId="0" borderId="1" xfId="0" applyNumberFormat="1" applyFont="1" applyFill="1" applyBorder="1" applyAlignment="1">
      <alignment shrinkToFit="1"/>
    </xf>
    <xf numFmtId="0" fontId="8" fillId="0" borderId="1" xfId="0" applyFont="1" applyFill="1" applyBorder="1" applyAlignment="1">
      <alignment shrinkToFit="1"/>
    </xf>
    <xf numFmtId="3" fontId="8" fillId="0" borderId="1" xfId="0" applyNumberFormat="1" applyFont="1" applyFill="1" applyBorder="1" applyAlignment="1">
      <alignment shrinkToFit="1"/>
    </xf>
    <xf numFmtId="0" fontId="9" fillId="0" borderId="1" xfId="0" applyFont="1" applyFill="1" applyBorder="1" applyAlignment="1">
      <alignment horizontal="center" shrinkToFit="1"/>
    </xf>
  </cellXfs>
  <cellStyles count="2">
    <cellStyle name="Millares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798"/>
  <sheetViews>
    <sheetView tabSelected="1" zoomScale="95" zoomScaleNormal="95" workbookViewId="0">
      <pane ySplit="2" topLeftCell="A3" activePane="bottomLeft" state="frozen"/>
      <selection pane="bottomLeft" activeCell="H3" sqref="H3"/>
    </sheetView>
  </sheetViews>
  <sheetFormatPr baseColWidth="10" defaultColWidth="14.42578125" defaultRowHeight="15" customHeight="1" x14ac:dyDescent="0.25"/>
  <cols>
    <col min="1" max="1" width="13.7109375" style="11" customWidth="1"/>
    <col min="2" max="2" width="33.5703125" customWidth="1"/>
    <col min="3" max="3" width="23.7109375" customWidth="1"/>
    <col min="4" max="4" width="27" customWidth="1"/>
    <col min="5" max="5" width="23" customWidth="1"/>
    <col min="6" max="6" width="24" customWidth="1"/>
    <col min="7" max="7" width="26.28515625" customWidth="1"/>
    <col min="8" max="8" width="22.5703125" customWidth="1"/>
  </cols>
  <sheetData>
    <row r="1" spans="1:8" ht="21.75" hidden="1" customHeight="1" x14ac:dyDescent="0.35">
      <c r="A1" s="10">
        <v>12</v>
      </c>
      <c r="B1" s="1">
        <v>42950</v>
      </c>
      <c r="C1" s="2"/>
      <c r="D1" s="2"/>
      <c r="E1" s="2"/>
      <c r="F1" s="3"/>
      <c r="G1" s="4">
        <v>0.7</v>
      </c>
      <c r="H1" s="12"/>
    </row>
    <row r="2" spans="1:8" ht="41.25" customHeight="1" x14ac:dyDescent="0.25">
      <c r="A2" s="5" t="s">
        <v>0</v>
      </c>
      <c r="B2" s="6" t="s">
        <v>1</v>
      </c>
      <c r="C2" s="7" t="s">
        <v>2</v>
      </c>
      <c r="D2" s="7" t="s">
        <v>42</v>
      </c>
      <c r="E2" s="7" t="s">
        <v>3</v>
      </c>
      <c r="F2" s="9" t="s">
        <v>38</v>
      </c>
      <c r="G2" s="8" t="s">
        <v>4</v>
      </c>
      <c r="H2" s="7" t="s">
        <v>54</v>
      </c>
    </row>
    <row r="3" spans="1:8" ht="24.95" customHeight="1" x14ac:dyDescent="0.4">
      <c r="A3" s="13">
        <v>77683</v>
      </c>
      <c r="B3" s="14">
        <v>46197</v>
      </c>
      <c r="C3" s="15" t="s">
        <v>338</v>
      </c>
      <c r="D3" s="15" t="s">
        <v>5</v>
      </c>
      <c r="E3" s="15" t="s">
        <v>14</v>
      </c>
      <c r="F3" s="16">
        <v>693144951</v>
      </c>
      <c r="G3" s="16">
        <f>F3*$G$1</f>
        <v>485201465.69999999</v>
      </c>
      <c r="H3" s="17"/>
    </row>
    <row r="4" spans="1:8" ht="24.95" customHeight="1" x14ac:dyDescent="0.4">
      <c r="A4" s="13">
        <v>77050</v>
      </c>
      <c r="B4" s="14">
        <v>46192</v>
      </c>
      <c r="C4" s="15" t="s">
        <v>186</v>
      </c>
      <c r="D4" s="15" t="s">
        <v>5</v>
      </c>
      <c r="E4" s="15" t="s">
        <v>14</v>
      </c>
      <c r="F4" s="16">
        <v>331590700</v>
      </c>
      <c r="G4" s="16">
        <v>331590700</v>
      </c>
      <c r="H4" s="17"/>
    </row>
    <row r="5" spans="1:8" ht="24.95" customHeight="1" x14ac:dyDescent="0.4">
      <c r="A5" s="13">
        <v>77772</v>
      </c>
      <c r="B5" s="14">
        <v>46219</v>
      </c>
      <c r="C5" s="15" t="s">
        <v>53</v>
      </c>
      <c r="D5" s="15" t="s">
        <v>5</v>
      </c>
      <c r="E5" s="15" t="s">
        <v>179</v>
      </c>
      <c r="F5" s="16">
        <v>94259114</v>
      </c>
      <c r="G5" s="16">
        <f>F5*$G$1</f>
        <v>65981379.799999997</v>
      </c>
      <c r="H5" s="17"/>
    </row>
    <row r="6" spans="1:8" ht="24.95" customHeight="1" x14ac:dyDescent="0.4">
      <c r="A6" s="13">
        <v>77053</v>
      </c>
      <c r="B6" s="14">
        <v>46196</v>
      </c>
      <c r="C6" s="15" t="s">
        <v>53</v>
      </c>
      <c r="D6" s="15" t="s">
        <v>5</v>
      </c>
      <c r="E6" s="15" t="s">
        <v>8</v>
      </c>
      <c r="F6" s="16">
        <v>239540134</v>
      </c>
      <c r="G6" s="16">
        <f>F6*$G$1</f>
        <v>167678093.79999998</v>
      </c>
      <c r="H6" s="17"/>
    </row>
    <row r="7" spans="1:8" ht="24.95" customHeight="1" x14ac:dyDescent="0.4">
      <c r="A7" s="13">
        <v>74685</v>
      </c>
      <c r="B7" s="14">
        <v>46315</v>
      </c>
      <c r="C7" s="15" t="s">
        <v>53</v>
      </c>
      <c r="D7" s="15" t="s">
        <v>5</v>
      </c>
      <c r="E7" s="15" t="s">
        <v>15</v>
      </c>
      <c r="F7" s="16">
        <v>228941011</v>
      </c>
      <c r="G7" s="16">
        <f>F7*$G$1</f>
        <v>160258707.69999999</v>
      </c>
      <c r="H7" s="17"/>
    </row>
    <row r="8" spans="1:8" ht="24.95" customHeight="1" x14ac:dyDescent="0.4">
      <c r="A8" s="13">
        <v>77774</v>
      </c>
      <c r="B8" s="14">
        <v>46203</v>
      </c>
      <c r="C8" s="15" t="s">
        <v>53</v>
      </c>
      <c r="D8" s="15" t="s">
        <v>5</v>
      </c>
      <c r="E8" s="15" t="s">
        <v>14</v>
      </c>
      <c r="F8" s="16">
        <v>122869500</v>
      </c>
      <c r="G8" s="16">
        <f>F8*$G$1</f>
        <v>86008650</v>
      </c>
      <c r="H8" s="17"/>
    </row>
    <row r="9" spans="1:8" ht="24.95" customHeight="1" x14ac:dyDescent="0.4">
      <c r="A9" s="13">
        <v>77780</v>
      </c>
      <c r="B9" s="14">
        <v>46210</v>
      </c>
      <c r="C9" s="15" t="s">
        <v>53</v>
      </c>
      <c r="D9" s="15" t="s">
        <v>5</v>
      </c>
      <c r="E9" s="15" t="s">
        <v>137</v>
      </c>
      <c r="F9" s="16">
        <v>783740000</v>
      </c>
      <c r="G9" s="16">
        <f>F9*$G$1</f>
        <v>548618000</v>
      </c>
      <c r="H9" s="17"/>
    </row>
    <row r="10" spans="1:8" ht="24.95" customHeight="1" x14ac:dyDescent="0.4">
      <c r="A10" s="13">
        <v>77600</v>
      </c>
      <c r="B10" s="14">
        <v>46204</v>
      </c>
      <c r="C10" s="15" t="s">
        <v>53</v>
      </c>
      <c r="D10" s="15" t="s">
        <v>5</v>
      </c>
      <c r="E10" s="15" t="s">
        <v>56</v>
      </c>
      <c r="F10" s="16">
        <v>25000000</v>
      </c>
      <c r="G10" s="16">
        <f>F10*$G$1</f>
        <v>17500000</v>
      </c>
      <c r="H10" s="17"/>
    </row>
    <row r="11" spans="1:8" ht="24.95" customHeight="1" x14ac:dyDescent="0.4">
      <c r="A11" s="13">
        <v>77778</v>
      </c>
      <c r="B11" s="14">
        <v>46224</v>
      </c>
      <c r="C11" s="15" t="s">
        <v>22</v>
      </c>
      <c r="D11" s="15" t="s">
        <v>5</v>
      </c>
      <c r="E11" s="15" t="s">
        <v>8</v>
      </c>
      <c r="F11" s="16">
        <v>295546590</v>
      </c>
      <c r="G11" s="16">
        <f>F11*$G$1</f>
        <v>206882613</v>
      </c>
      <c r="H11" s="17"/>
    </row>
    <row r="12" spans="1:8" ht="24.95" customHeight="1" x14ac:dyDescent="0.4">
      <c r="A12" s="13">
        <v>77796</v>
      </c>
      <c r="B12" s="14">
        <v>46203</v>
      </c>
      <c r="C12" s="15" t="s">
        <v>22</v>
      </c>
      <c r="D12" s="15" t="s">
        <v>5</v>
      </c>
      <c r="E12" s="15" t="s">
        <v>8</v>
      </c>
      <c r="F12" s="16">
        <v>330165996</v>
      </c>
      <c r="G12" s="16">
        <f>F12*$G$1</f>
        <v>231116197.19999999</v>
      </c>
      <c r="H12" s="17"/>
    </row>
    <row r="13" spans="1:8" ht="24.95" customHeight="1" x14ac:dyDescent="0.4">
      <c r="A13" s="13">
        <v>77512</v>
      </c>
      <c r="B13" s="14">
        <v>46204</v>
      </c>
      <c r="C13" s="15" t="s">
        <v>22</v>
      </c>
      <c r="D13" s="15" t="s">
        <v>5</v>
      </c>
      <c r="E13" s="15" t="s">
        <v>14</v>
      </c>
      <c r="F13" s="16">
        <v>391093800</v>
      </c>
      <c r="G13" s="16">
        <f>F13*$G$1</f>
        <v>273765660</v>
      </c>
      <c r="H13" s="17"/>
    </row>
    <row r="14" spans="1:8" ht="24.95" customHeight="1" x14ac:dyDescent="0.4">
      <c r="A14" s="13">
        <v>77795</v>
      </c>
      <c r="B14" s="14">
        <v>46203</v>
      </c>
      <c r="C14" s="15" t="s">
        <v>22</v>
      </c>
      <c r="D14" s="15" t="s">
        <v>5</v>
      </c>
      <c r="E14" s="15" t="s">
        <v>30</v>
      </c>
      <c r="F14" s="16">
        <v>246170000</v>
      </c>
      <c r="G14" s="16">
        <f>F14*$G$1</f>
        <v>172319000</v>
      </c>
      <c r="H14" s="17"/>
    </row>
    <row r="15" spans="1:8" ht="24.95" customHeight="1" x14ac:dyDescent="0.4">
      <c r="A15" s="13">
        <v>77334</v>
      </c>
      <c r="B15" s="14">
        <v>46197</v>
      </c>
      <c r="C15" s="15" t="s">
        <v>240</v>
      </c>
      <c r="D15" s="15" t="s">
        <v>5</v>
      </c>
      <c r="E15" s="15" t="s">
        <v>8</v>
      </c>
      <c r="F15" s="16">
        <v>236197142</v>
      </c>
      <c r="G15" s="16">
        <f>F15*$G$1</f>
        <v>165337999.39999998</v>
      </c>
      <c r="H15" s="17"/>
    </row>
    <row r="16" spans="1:8" ht="24.95" customHeight="1" x14ac:dyDescent="0.4">
      <c r="A16" s="13">
        <v>77558</v>
      </c>
      <c r="B16" s="14">
        <v>46205</v>
      </c>
      <c r="C16" s="15" t="s">
        <v>97</v>
      </c>
      <c r="D16" s="15" t="s">
        <v>5</v>
      </c>
      <c r="E16" s="15" t="s">
        <v>8</v>
      </c>
      <c r="F16" s="16">
        <v>76340000</v>
      </c>
      <c r="G16" s="16">
        <f>F16*$G$1</f>
        <v>53438000</v>
      </c>
      <c r="H16" s="17"/>
    </row>
    <row r="17" spans="1:8" ht="24.95" customHeight="1" x14ac:dyDescent="0.4">
      <c r="A17" s="13">
        <v>76764</v>
      </c>
      <c r="B17" s="14">
        <v>46238</v>
      </c>
      <c r="C17" s="15" t="s">
        <v>97</v>
      </c>
      <c r="D17" s="15" t="s">
        <v>5</v>
      </c>
      <c r="E17" s="15" t="s">
        <v>14</v>
      </c>
      <c r="F17" s="16">
        <v>37520766</v>
      </c>
      <c r="G17" s="16">
        <f>F17*$G$1</f>
        <v>26264536.199999999</v>
      </c>
      <c r="H17" s="17"/>
    </row>
    <row r="18" spans="1:8" ht="24.95" customHeight="1" x14ac:dyDescent="0.4">
      <c r="A18" s="13">
        <v>76980</v>
      </c>
      <c r="B18" s="14">
        <v>46231</v>
      </c>
      <c r="C18" s="15" t="s">
        <v>97</v>
      </c>
      <c r="D18" s="15" t="s">
        <v>5</v>
      </c>
      <c r="E18" s="15" t="s">
        <v>14</v>
      </c>
      <c r="F18" s="16">
        <v>62112000</v>
      </c>
      <c r="G18" s="16">
        <f>F18*$G$1</f>
        <v>43478400</v>
      </c>
      <c r="H18" s="17"/>
    </row>
    <row r="19" spans="1:8" ht="24.95" customHeight="1" x14ac:dyDescent="0.4">
      <c r="A19" s="13">
        <v>77814</v>
      </c>
      <c r="B19" s="14">
        <v>46232</v>
      </c>
      <c r="C19" s="15" t="s">
        <v>97</v>
      </c>
      <c r="D19" s="15" t="s">
        <v>5</v>
      </c>
      <c r="E19" s="15" t="s">
        <v>14</v>
      </c>
      <c r="F19" s="16">
        <v>160814758.27000001</v>
      </c>
      <c r="G19" s="16">
        <f>F19*$G$1</f>
        <v>112570330.789</v>
      </c>
      <c r="H19" s="17"/>
    </row>
    <row r="20" spans="1:8" ht="24.95" customHeight="1" x14ac:dyDescent="0.4">
      <c r="A20" s="13">
        <v>77817</v>
      </c>
      <c r="B20" s="14">
        <v>46210</v>
      </c>
      <c r="C20" s="15" t="s">
        <v>97</v>
      </c>
      <c r="D20" s="15" t="s">
        <v>5</v>
      </c>
      <c r="E20" s="15" t="s">
        <v>14</v>
      </c>
      <c r="F20" s="16">
        <v>48362500</v>
      </c>
      <c r="G20" s="16">
        <f>F20*$G$1</f>
        <v>33853750</v>
      </c>
      <c r="H20" s="17"/>
    </row>
    <row r="21" spans="1:8" ht="24.95" customHeight="1" x14ac:dyDescent="0.4">
      <c r="A21" s="13">
        <v>77112</v>
      </c>
      <c r="B21" s="14">
        <v>46204</v>
      </c>
      <c r="C21" s="15" t="s">
        <v>97</v>
      </c>
      <c r="D21" s="15" t="s">
        <v>5</v>
      </c>
      <c r="E21" s="15" t="s">
        <v>37</v>
      </c>
      <c r="F21" s="16">
        <v>156790000</v>
      </c>
      <c r="G21" s="16">
        <f>F21*$G$1</f>
        <v>109753000</v>
      </c>
      <c r="H21" s="17"/>
    </row>
    <row r="22" spans="1:8" ht="24.95" customHeight="1" x14ac:dyDescent="0.4">
      <c r="A22" s="13">
        <v>77452</v>
      </c>
      <c r="B22" s="14">
        <v>46205</v>
      </c>
      <c r="C22" s="15" t="s">
        <v>263</v>
      </c>
      <c r="D22" s="15" t="s">
        <v>5</v>
      </c>
      <c r="E22" s="15" t="s">
        <v>15</v>
      </c>
      <c r="F22" s="16">
        <v>24112500</v>
      </c>
      <c r="G22" s="16">
        <f>F22*$G$1</f>
        <v>16878750</v>
      </c>
      <c r="H22" s="17"/>
    </row>
    <row r="23" spans="1:8" ht="24.95" customHeight="1" x14ac:dyDescent="0.4">
      <c r="A23" s="13">
        <v>77510</v>
      </c>
      <c r="B23" s="14">
        <v>46192</v>
      </c>
      <c r="C23" s="15" t="s">
        <v>284</v>
      </c>
      <c r="D23" s="15" t="s">
        <v>5</v>
      </c>
      <c r="E23" s="15" t="s">
        <v>10</v>
      </c>
      <c r="F23" s="16">
        <v>953030330</v>
      </c>
      <c r="G23" s="16">
        <f>F23*$G$1</f>
        <v>667121231</v>
      </c>
      <c r="H23" s="17"/>
    </row>
    <row r="24" spans="1:8" ht="24.95" customHeight="1" x14ac:dyDescent="0.4">
      <c r="A24" s="13">
        <v>77804</v>
      </c>
      <c r="B24" s="14">
        <v>46238</v>
      </c>
      <c r="C24" s="15" t="s">
        <v>196</v>
      </c>
      <c r="D24" s="15" t="s">
        <v>5</v>
      </c>
      <c r="E24" s="15" t="s">
        <v>45</v>
      </c>
      <c r="F24" s="16">
        <v>94793712</v>
      </c>
      <c r="G24" s="16">
        <v>66355598.399999999</v>
      </c>
      <c r="H24" s="17"/>
    </row>
    <row r="25" spans="1:8" ht="24.95" customHeight="1" x14ac:dyDescent="0.4">
      <c r="A25" s="13">
        <v>77775</v>
      </c>
      <c r="B25" s="14">
        <v>46206</v>
      </c>
      <c r="C25" s="15" t="s">
        <v>196</v>
      </c>
      <c r="D25" s="15" t="s">
        <v>5</v>
      </c>
      <c r="E25" s="15" t="s">
        <v>14</v>
      </c>
      <c r="F25" s="16">
        <v>6950386451</v>
      </c>
      <c r="G25" s="16">
        <f>F25*$G$1</f>
        <v>4865270515.6999998</v>
      </c>
      <c r="H25" s="17"/>
    </row>
    <row r="26" spans="1:8" ht="24.95" customHeight="1" x14ac:dyDescent="0.4">
      <c r="A26" s="13">
        <v>77108</v>
      </c>
      <c r="B26" s="14">
        <v>46206</v>
      </c>
      <c r="C26" s="15" t="s">
        <v>196</v>
      </c>
      <c r="D26" s="15" t="s">
        <v>5</v>
      </c>
      <c r="E26" s="15" t="s">
        <v>44</v>
      </c>
      <c r="F26" s="16">
        <v>695038645</v>
      </c>
      <c r="G26" s="16">
        <f>F26*$G$1</f>
        <v>486527051.49999994</v>
      </c>
      <c r="H26" s="17"/>
    </row>
    <row r="27" spans="1:8" ht="24.95" customHeight="1" x14ac:dyDescent="0.4">
      <c r="A27" s="13">
        <v>76180</v>
      </c>
      <c r="B27" s="14">
        <v>46231</v>
      </c>
      <c r="C27" s="15" t="s">
        <v>118</v>
      </c>
      <c r="D27" s="15" t="s">
        <v>5</v>
      </c>
      <c r="E27" s="15" t="s">
        <v>8</v>
      </c>
      <c r="F27" s="16">
        <v>374011800</v>
      </c>
      <c r="G27" s="16">
        <f>F27*$G$1</f>
        <v>261808259.99999997</v>
      </c>
      <c r="H27" s="17"/>
    </row>
    <row r="28" spans="1:8" ht="24.95" customHeight="1" x14ac:dyDescent="0.4">
      <c r="A28" s="13">
        <v>77511</v>
      </c>
      <c r="B28" s="14">
        <v>46219</v>
      </c>
      <c r="C28" s="15" t="s">
        <v>285</v>
      </c>
      <c r="D28" s="15" t="s">
        <v>5</v>
      </c>
      <c r="E28" s="15" t="s">
        <v>10</v>
      </c>
      <c r="F28" s="16">
        <v>160500000</v>
      </c>
      <c r="G28" s="16">
        <f>F28*$G$1</f>
        <v>112350000</v>
      </c>
      <c r="H28" s="17"/>
    </row>
    <row r="29" spans="1:8" ht="24.95" customHeight="1" x14ac:dyDescent="0.4">
      <c r="A29" s="13">
        <v>77613</v>
      </c>
      <c r="B29" s="14">
        <v>46240</v>
      </c>
      <c r="C29" s="15" t="s">
        <v>40</v>
      </c>
      <c r="D29" s="15" t="s">
        <v>5</v>
      </c>
      <c r="E29" s="15" t="s">
        <v>312</v>
      </c>
      <c r="F29" s="16">
        <v>800000000</v>
      </c>
      <c r="G29" s="16">
        <v>800000000</v>
      </c>
      <c r="H29" s="17"/>
    </row>
    <row r="30" spans="1:8" ht="24.95" customHeight="1" x14ac:dyDescent="0.4">
      <c r="A30" s="13">
        <v>77163</v>
      </c>
      <c r="B30" s="14">
        <v>46191</v>
      </c>
      <c r="C30" s="15" t="s">
        <v>40</v>
      </c>
      <c r="D30" s="15" t="s">
        <v>5</v>
      </c>
      <c r="E30" s="15" t="s">
        <v>179</v>
      </c>
      <c r="F30" s="16">
        <v>193293000</v>
      </c>
      <c r="G30" s="16">
        <f>F30*$G$1</f>
        <v>135305100</v>
      </c>
      <c r="H30" s="17"/>
    </row>
    <row r="31" spans="1:8" ht="24.95" customHeight="1" x14ac:dyDescent="0.4">
      <c r="A31" s="13">
        <v>77809</v>
      </c>
      <c r="B31" s="14">
        <v>46205</v>
      </c>
      <c r="C31" s="15" t="s">
        <v>40</v>
      </c>
      <c r="D31" s="15" t="s">
        <v>5</v>
      </c>
      <c r="E31" s="15" t="s">
        <v>45</v>
      </c>
      <c r="F31" s="16">
        <v>99557250</v>
      </c>
      <c r="G31" s="16">
        <f>F31*$G$1</f>
        <v>69690075</v>
      </c>
      <c r="H31" s="17"/>
    </row>
    <row r="32" spans="1:8" ht="24.95" customHeight="1" x14ac:dyDescent="0.4">
      <c r="A32" s="13">
        <v>75772</v>
      </c>
      <c r="B32" s="14">
        <v>46224</v>
      </c>
      <c r="C32" s="15" t="s">
        <v>40</v>
      </c>
      <c r="D32" s="15" t="s">
        <v>5</v>
      </c>
      <c r="E32" s="15" t="s">
        <v>8</v>
      </c>
      <c r="F32" s="16">
        <v>321017163</v>
      </c>
      <c r="G32" s="16">
        <f>F32*$G$1</f>
        <v>224712014.09999999</v>
      </c>
      <c r="H32" s="17"/>
    </row>
    <row r="33" spans="1:8" ht="24.95" customHeight="1" x14ac:dyDescent="0.4">
      <c r="A33" s="13">
        <v>77359</v>
      </c>
      <c r="B33" s="14">
        <v>46191</v>
      </c>
      <c r="C33" s="15" t="s">
        <v>40</v>
      </c>
      <c r="D33" s="15" t="s">
        <v>5</v>
      </c>
      <c r="E33" s="15" t="s">
        <v>8</v>
      </c>
      <c r="F33" s="16">
        <v>235000000</v>
      </c>
      <c r="G33" s="16">
        <f>F33*$G$1</f>
        <v>164500000</v>
      </c>
      <c r="H33" s="17"/>
    </row>
    <row r="34" spans="1:8" ht="24.95" customHeight="1" x14ac:dyDescent="0.4">
      <c r="A34" s="13">
        <v>77547</v>
      </c>
      <c r="B34" s="14">
        <v>46198</v>
      </c>
      <c r="C34" s="15" t="s">
        <v>40</v>
      </c>
      <c r="D34" s="15" t="s">
        <v>5</v>
      </c>
      <c r="E34" s="15" t="s">
        <v>8</v>
      </c>
      <c r="F34" s="16">
        <v>205309405</v>
      </c>
      <c r="G34" s="16">
        <f>F34*$G$1</f>
        <v>143716583.5</v>
      </c>
      <c r="H34" s="17"/>
    </row>
    <row r="35" spans="1:8" ht="24.95" customHeight="1" x14ac:dyDescent="0.4">
      <c r="A35" s="13">
        <v>77771</v>
      </c>
      <c r="B35" s="14">
        <v>46205</v>
      </c>
      <c r="C35" s="15" t="s">
        <v>40</v>
      </c>
      <c r="D35" s="15" t="s">
        <v>5</v>
      </c>
      <c r="E35" s="15" t="s">
        <v>8</v>
      </c>
      <c r="F35" s="16">
        <v>211045409</v>
      </c>
      <c r="G35" s="16">
        <f>F35*$G$1</f>
        <v>147731786.29999998</v>
      </c>
      <c r="H35" s="17"/>
    </row>
    <row r="36" spans="1:8" ht="24.95" customHeight="1" x14ac:dyDescent="0.4">
      <c r="A36" s="13">
        <v>77783</v>
      </c>
      <c r="B36" s="14">
        <v>46210</v>
      </c>
      <c r="C36" s="15" t="s">
        <v>40</v>
      </c>
      <c r="D36" s="15" t="s">
        <v>5</v>
      </c>
      <c r="E36" s="15" t="s">
        <v>8</v>
      </c>
      <c r="F36" s="16">
        <v>51484627</v>
      </c>
      <c r="G36" s="16">
        <f>F36*$G$1</f>
        <v>36039238.899999999</v>
      </c>
      <c r="H36" s="17"/>
    </row>
    <row r="37" spans="1:8" ht="24.95" customHeight="1" x14ac:dyDescent="0.4">
      <c r="A37" s="13">
        <v>77360</v>
      </c>
      <c r="B37" s="14">
        <v>46196</v>
      </c>
      <c r="C37" s="15" t="s">
        <v>40</v>
      </c>
      <c r="D37" s="15" t="s">
        <v>5</v>
      </c>
      <c r="E37" s="15" t="s">
        <v>15</v>
      </c>
      <c r="F37" s="16">
        <v>250000240</v>
      </c>
      <c r="G37" s="16">
        <v>250000240</v>
      </c>
      <c r="H37" s="17"/>
    </row>
    <row r="38" spans="1:8" ht="24.95" customHeight="1" x14ac:dyDescent="0.4">
      <c r="A38" s="13">
        <v>77389</v>
      </c>
      <c r="B38" s="14">
        <v>46191</v>
      </c>
      <c r="C38" s="15" t="s">
        <v>40</v>
      </c>
      <c r="D38" s="15" t="s">
        <v>5</v>
      </c>
      <c r="E38" s="15" t="s">
        <v>15</v>
      </c>
      <c r="F38" s="16">
        <v>216027000</v>
      </c>
      <c r="G38" s="16">
        <f>F38*$G$1</f>
        <v>151218900</v>
      </c>
      <c r="H38" s="17"/>
    </row>
    <row r="39" spans="1:8" ht="24.95" customHeight="1" x14ac:dyDescent="0.4">
      <c r="A39" s="13">
        <v>77685</v>
      </c>
      <c r="B39" s="14">
        <v>46205</v>
      </c>
      <c r="C39" s="15" t="s">
        <v>40</v>
      </c>
      <c r="D39" s="15" t="s">
        <v>5</v>
      </c>
      <c r="E39" s="15" t="s">
        <v>15</v>
      </c>
      <c r="F39" s="16">
        <v>263800030</v>
      </c>
      <c r="G39" s="16">
        <f>F39*$G$1</f>
        <v>184660021</v>
      </c>
      <c r="H39" s="17"/>
    </row>
    <row r="40" spans="1:8" ht="24.95" customHeight="1" x14ac:dyDescent="0.4">
      <c r="A40" s="13">
        <v>75392</v>
      </c>
      <c r="B40" s="14">
        <v>46212</v>
      </c>
      <c r="C40" s="15" t="s">
        <v>40</v>
      </c>
      <c r="D40" s="15" t="s">
        <v>5</v>
      </c>
      <c r="E40" s="15" t="s">
        <v>14</v>
      </c>
      <c r="F40" s="16">
        <v>407349000</v>
      </c>
      <c r="G40" s="16">
        <f>F40*$G$1</f>
        <v>285144300</v>
      </c>
      <c r="H40" s="17"/>
    </row>
    <row r="41" spans="1:8" ht="24.95" customHeight="1" x14ac:dyDescent="0.4">
      <c r="A41" s="13">
        <v>76101</v>
      </c>
      <c r="B41" s="14">
        <v>46209</v>
      </c>
      <c r="C41" s="15" t="s">
        <v>40</v>
      </c>
      <c r="D41" s="15" t="s">
        <v>5</v>
      </c>
      <c r="E41" s="15" t="s">
        <v>14</v>
      </c>
      <c r="F41" s="16">
        <v>795000000</v>
      </c>
      <c r="G41" s="16">
        <f>F41*$G$1</f>
        <v>556500000</v>
      </c>
      <c r="H41" s="17"/>
    </row>
    <row r="42" spans="1:8" ht="24.95" customHeight="1" x14ac:dyDescent="0.4">
      <c r="A42" s="13">
        <v>76897</v>
      </c>
      <c r="B42" s="14">
        <v>46195</v>
      </c>
      <c r="C42" s="15" t="s">
        <v>40</v>
      </c>
      <c r="D42" s="15" t="s">
        <v>5</v>
      </c>
      <c r="E42" s="15" t="s">
        <v>14</v>
      </c>
      <c r="F42" s="16">
        <v>155862000</v>
      </c>
      <c r="G42" s="16">
        <f>F42*$G$1</f>
        <v>109103400</v>
      </c>
      <c r="H42" s="17"/>
    </row>
    <row r="43" spans="1:8" ht="24.95" customHeight="1" x14ac:dyDescent="0.4">
      <c r="A43" s="13">
        <v>76898</v>
      </c>
      <c r="B43" s="14">
        <v>46331</v>
      </c>
      <c r="C43" s="15" t="s">
        <v>40</v>
      </c>
      <c r="D43" s="15" t="s">
        <v>5</v>
      </c>
      <c r="E43" s="15" t="s">
        <v>14</v>
      </c>
      <c r="F43" s="16">
        <v>190000000</v>
      </c>
      <c r="G43" s="16">
        <f>F43*$G$1</f>
        <v>132999999.99999999</v>
      </c>
      <c r="H43" s="17"/>
    </row>
    <row r="44" spans="1:8" ht="24.95" customHeight="1" x14ac:dyDescent="0.4">
      <c r="A44" s="13">
        <v>77051</v>
      </c>
      <c r="B44" s="14">
        <v>46191</v>
      </c>
      <c r="C44" s="15" t="s">
        <v>40</v>
      </c>
      <c r="D44" s="15" t="s">
        <v>5</v>
      </c>
      <c r="E44" s="15" t="s">
        <v>14</v>
      </c>
      <c r="F44" s="16">
        <v>193293000</v>
      </c>
      <c r="G44" s="16">
        <f>F44*$G$1</f>
        <v>135305100</v>
      </c>
      <c r="H44" s="17"/>
    </row>
    <row r="45" spans="1:8" ht="24.95" customHeight="1" x14ac:dyDescent="0.4">
      <c r="A45" s="13">
        <v>77329</v>
      </c>
      <c r="B45" s="14">
        <v>46199</v>
      </c>
      <c r="C45" s="15" t="s">
        <v>40</v>
      </c>
      <c r="D45" s="15" t="s">
        <v>5</v>
      </c>
      <c r="E45" s="15" t="s">
        <v>14</v>
      </c>
      <c r="F45" s="16">
        <v>168113650</v>
      </c>
      <c r="G45" s="16">
        <f>F45*$G$1</f>
        <v>117679554.99999999</v>
      </c>
      <c r="H45" s="17"/>
    </row>
    <row r="46" spans="1:8" ht="24.95" customHeight="1" x14ac:dyDescent="0.4">
      <c r="A46" s="13">
        <v>77335</v>
      </c>
      <c r="B46" s="14">
        <v>46196</v>
      </c>
      <c r="C46" s="15" t="s">
        <v>40</v>
      </c>
      <c r="D46" s="15" t="s">
        <v>5</v>
      </c>
      <c r="E46" s="15" t="s">
        <v>14</v>
      </c>
      <c r="F46" s="16">
        <v>3062241000</v>
      </c>
      <c r="G46" s="16">
        <f>F46*$G$1</f>
        <v>2143568699.9999998</v>
      </c>
      <c r="H46" s="17"/>
    </row>
    <row r="47" spans="1:8" ht="24.95" customHeight="1" x14ac:dyDescent="0.4">
      <c r="A47" s="13">
        <v>77509</v>
      </c>
      <c r="B47" s="14">
        <v>46196</v>
      </c>
      <c r="C47" s="15" t="s">
        <v>40</v>
      </c>
      <c r="D47" s="15" t="s">
        <v>5</v>
      </c>
      <c r="E47" s="15" t="s">
        <v>14</v>
      </c>
      <c r="F47" s="16">
        <v>124590000</v>
      </c>
      <c r="G47" s="16">
        <f>F47*$G$1</f>
        <v>87213000</v>
      </c>
      <c r="H47" s="17"/>
    </row>
    <row r="48" spans="1:8" ht="24.95" customHeight="1" x14ac:dyDescent="0.4">
      <c r="A48" s="13">
        <v>77684</v>
      </c>
      <c r="B48" s="14">
        <v>46198</v>
      </c>
      <c r="C48" s="15" t="s">
        <v>40</v>
      </c>
      <c r="D48" s="15" t="s">
        <v>5</v>
      </c>
      <c r="E48" s="15" t="s">
        <v>14</v>
      </c>
      <c r="F48" s="16">
        <v>220518000</v>
      </c>
      <c r="G48" s="16">
        <f>F48*$G$1</f>
        <v>154362600</v>
      </c>
      <c r="H48" s="17"/>
    </row>
    <row r="49" spans="1:8" ht="24.95" customHeight="1" x14ac:dyDescent="0.4">
      <c r="A49" s="13">
        <v>77770</v>
      </c>
      <c r="B49" s="14">
        <v>46205</v>
      </c>
      <c r="C49" s="15" t="s">
        <v>40</v>
      </c>
      <c r="D49" s="15" t="s">
        <v>5</v>
      </c>
      <c r="E49" s="15" t="s">
        <v>14</v>
      </c>
      <c r="F49" s="16">
        <v>478070098</v>
      </c>
      <c r="G49" s="16">
        <f>F49*$G$1</f>
        <v>334649068.59999996</v>
      </c>
      <c r="H49" s="17"/>
    </row>
    <row r="50" spans="1:8" ht="24.95" customHeight="1" x14ac:dyDescent="0.4">
      <c r="A50" s="13">
        <v>77781</v>
      </c>
      <c r="B50" s="14">
        <v>46205</v>
      </c>
      <c r="C50" s="15" t="s">
        <v>40</v>
      </c>
      <c r="D50" s="15" t="s">
        <v>5</v>
      </c>
      <c r="E50" s="15" t="s">
        <v>14</v>
      </c>
      <c r="F50" s="16">
        <v>239672182</v>
      </c>
      <c r="G50" s="16">
        <v>239672182</v>
      </c>
      <c r="H50" s="17"/>
    </row>
    <row r="51" spans="1:8" ht="24.95" customHeight="1" x14ac:dyDescent="0.4">
      <c r="A51" s="13">
        <v>77328</v>
      </c>
      <c r="B51" s="14">
        <v>46205</v>
      </c>
      <c r="C51" s="15" t="s">
        <v>40</v>
      </c>
      <c r="D51" s="15" t="s">
        <v>5</v>
      </c>
      <c r="E51" s="15" t="s">
        <v>95</v>
      </c>
      <c r="F51" s="16">
        <v>789190000</v>
      </c>
      <c r="G51" s="16">
        <f>F51*$G$1</f>
        <v>552433000</v>
      </c>
      <c r="H51" s="17"/>
    </row>
    <row r="52" spans="1:8" ht="24.95" customHeight="1" x14ac:dyDescent="0.4">
      <c r="A52" s="13">
        <v>77773</v>
      </c>
      <c r="B52" s="14">
        <v>46205</v>
      </c>
      <c r="C52" s="15" t="s">
        <v>40</v>
      </c>
      <c r="D52" s="15" t="s">
        <v>5</v>
      </c>
      <c r="E52" s="15" t="s">
        <v>95</v>
      </c>
      <c r="F52" s="16">
        <v>580637259</v>
      </c>
      <c r="G52" s="16">
        <f>F52*$G$1</f>
        <v>406446081.29999995</v>
      </c>
      <c r="H52" s="17"/>
    </row>
    <row r="53" spans="1:8" ht="24.95" customHeight="1" x14ac:dyDescent="0.4">
      <c r="A53" s="13">
        <v>77052</v>
      </c>
      <c r="B53" s="14">
        <v>46198</v>
      </c>
      <c r="C53" s="15" t="s">
        <v>40</v>
      </c>
      <c r="D53" s="15" t="s">
        <v>5</v>
      </c>
      <c r="E53" s="15" t="s">
        <v>30</v>
      </c>
      <c r="F53" s="16">
        <v>321462000</v>
      </c>
      <c r="G53" s="16">
        <f>F53*$G$1</f>
        <v>225023400</v>
      </c>
      <c r="H53" s="17"/>
    </row>
    <row r="54" spans="1:8" ht="24.95" customHeight="1" x14ac:dyDescent="0.4">
      <c r="A54" s="13">
        <v>76981</v>
      </c>
      <c r="B54" s="14">
        <v>46238</v>
      </c>
      <c r="C54" s="15" t="s">
        <v>40</v>
      </c>
      <c r="D54" s="15" t="s">
        <v>5</v>
      </c>
      <c r="E54" s="15" t="s">
        <v>145</v>
      </c>
      <c r="F54" s="16">
        <v>295801712</v>
      </c>
      <c r="G54" s="16">
        <f>F54*$G$1</f>
        <v>207061198.39999998</v>
      </c>
      <c r="H54" s="17"/>
    </row>
    <row r="55" spans="1:8" ht="24.95" customHeight="1" x14ac:dyDescent="0.4">
      <c r="A55" s="13">
        <v>77049</v>
      </c>
      <c r="B55" s="14">
        <v>46198</v>
      </c>
      <c r="C55" s="15" t="s">
        <v>40</v>
      </c>
      <c r="D55" s="15" t="s">
        <v>5</v>
      </c>
      <c r="E55" s="15" t="s">
        <v>137</v>
      </c>
      <c r="F55" s="16">
        <v>90741000</v>
      </c>
      <c r="G55" s="16">
        <f>F55*$G$1</f>
        <v>63518699.999999993</v>
      </c>
      <c r="H55" s="17"/>
    </row>
    <row r="56" spans="1:8" ht="24.95" customHeight="1" x14ac:dyDescent="0.4">
      <c r="A56" s="13">
        <v>77333</v>
      </c>
      <c r="B56" s="14">
        <v>46192</v>
      </c>
      <c r="C56" s="15" t="s">
        <v>40</v>
      </c>
      <c r="D56" s="15" t="s">
        <v>5</v>
      </c>
      <c r="E56" s="15" t="s">
        <v>11</v>
      </c>
      <c r="F56" s="16">
        <v>52053000</v>
      </c>
      <c r="G56" s="16">
        <f>F56*$G$1</f>
        <v>36437100</v>
      </c>
      <c r="H56" s="17" t="s">
        <v>239</v>
      </c>
    </row>
    <row r="57" spans="1:8" ht="24.95" customHeight="1" x14ac:dyDescent="0.4">
      <c r="A57" s="13">
        <v>77614</v>
      </c>
      <c r="B57" s="14">
        <v>46212</v>
      </c>
      <c r="C57" s="15" t="s">
        <v>313</v>
      </c>
      <c r="D57" s="15" t="s">
        <v>5</v>
      </c>
      <c r="E57" s="15" t="s">
        <v>14</v>
      </c>
      <c r="F57" s="16">
        <v>593750000</v>
      </c>
      <c r="G57" s="16">
        <f>F57*$G$1</f>
        <v>415625000</v>
      </c>
      <c r="H57" s="17"/>
    </row>
    <row r="58" spans="1:8" ht="24.95" customHeight="1" x14ac:dyDescent="0.4">
      <c r="A58" s="13">
        <v>77779</v>
      </c>
      <c r="B58" s="14">
        <v>46212</v>
      </c>
      <c r="C58" s="15" t="s">
        <v>313</v>
      </c>
      <c r="D58" s="15" t="s">
        <v>5</v>
      </c>
      <c r="E58" s="15" t="s">
        <v>14</v>
      </c>
      <c r="F58" s="16">
        <v>237943869</v>
      </c>
      <c r="G58" s="16">
        <f>F58*$G$1</f>
        <v>166560708.29999998</v>
      </c>
      <c r="H58" s="17"/>
    </row>
    <row r="59" spans="1:8" ht="24.95" customHeight="1" x14ac:dyDescent="0.4">
      <c r="A59" s="13">
        <v>77111</v>
      </c>
      <c r="B59" s="14">
        <v>46310</v>
      </c>
      <c r="C59" s="15" t="s">
        <v>57</v>
      </c>
      <c r="D59" s="15" t="s">
        <v>5</v>
      </c>
      <c r="E59" s="15" t="s">
        <v>14</v>
      </c>
      <c r="F59" s="16">
        <v>760614140</v>
      </c>
      <c r="G59" s="16">
        <f>F59*$G$1</f>
        <v>532429897.99999994</v>
      </c>
      <c r="H59" s="17"/>
    </row>
    <row r="60" spans="1:8" ht="24.95" customHeight="1" x14ac:dyDescent="0.4">
      <c r="A60" s="13">
        <v>77325</v>
      </c>
      <c r="B60" s="14">
        <v>46231</v>
      </c>
      <c r="C60" s="15" t="s">
        <v>57</v>
      </c>
      <c r="D60" s="15" t="s">
        <v>5</v>
      </c>
      <c r="E60" s="15" t="s">
        <v>14</v>
      </c>
      <c r="F60" s="16">
        <v>1607179460</v>
      </c>
      <c r="G60" s="16">
        <v>1607179460</v>
      </c>
      <c r="H60" s="17"/>
    </row>
    <row r="61" spans="1:8" ht="24.95" customHeight="1" x14ac:dyDescent="0.4">
      <c r="A61" s="13">
        <v>77327</v>
      </c>
      <c r="B61" s="14">
        <v>46210</v>
      </c>
      <c r="C61" s="15" t="s">
        <v>57</v>
      </c>
      <c r="D61" s="15" t="s">
        <v>5</v>
      </c>
      <c r="E61" s="15" t="s">
        <v>14</v>
      </c>
      <c r="F61" s="16">
        <v>982773000</v>
      </c>
      <c r="G61" s="16">
        <f>F61*$G$1</f>
        <v>687941100</v>
      </c>
      <c r="H61" s="17"/>
    </row>
    <row r="62" spans="1:8" ht="24.95" customHeight="1" x14ac:dyDescent="0.4">
      <c r="A62" s="13">
        <v>77337</v>
      </c>
      <c r="B62" s="14">
        <v>46198</v>
      </c>
      <c r="C62" s="15" t="s">
        <v>57</v>
      </c>
      <c r="D62" s="15" t="s">
        <v>5</v>
      </c>
      <c r="E62" s="15" t="s">
        <v>14</v>
      </c>
      <c r="F62" s="16">
        <v>219945000</v>
      </c>
      <c r="G62" s="16">
        <f>F62*$G$1</f>
        <v>153961500</v>
      </c>
      <c r="H62" s="17"/>
    </row>
    <row r="63" spans="1:8" ht="24.95" customHeight="1" x14ac:dyDescent="0.4">
      <c r="A63" s="13">
        <v>77508</v>
      </c>
      <c r="B63" s="14">
        <v>46224</v>
      </c>
      <c r="C63" s="15" t="s">
        <v>57</v>
      </c>
      <c r="D63" s="15" t="s">
        <v>5</v>
      </c>
      <c r="E63" s="15" t="s">
        <v>14</v>
      </c>
      <c r="F63" s="16">
        <v>2140208239</v>
      </c>
      <c r="G63" s="16">
        <v>2140208239</v>
      </c>
      <c r="H63" s="17"/>
    </row>
    <row r="64" spans="1:8" ht="24.95" customHeight="1" x14ac:dyDescent="0.4">
      <c r="A64" s="13">
        <v>77615</v>
      </c>
      <c r="B64" s="14">
        <v>46245</v>
      </c>
      <c r="C64" s="15" t="s">
        <v>57</v>
      </c>
      <c r="D64" s="15" t="s">
        <v>5</v>
      </c>
      <c r="E64" s="15" t="s">
        <v>14</v>
      </c>
      <c r="F64" s="16">
        <v>751499818</v>
      </c>
      <c r="G64" s="16">
        <f>F64*$G$1</f>
        <v>526049872.59999996</v>
      </c>
      <c r="H64" s="17"/>
    </row>
    <row r="65" spans="1:8" ht="24.95" customHeight="1" x14ac:dyDescent="0.4">
      <c r="A65" s="13">
        <v>77686</v>
      </c>
      <c r="B65" s="14">
        <v>46224</v>
      </c>
      <c r="C65" s="15" t="s">
        <v>57</v>
      </c>
      <c r="D65" s="15" t="s">
        <v>5</v>
      </c>
      <c r="E65" s="15" t="s">
        <v>14</v>
      </c>
      <c r="F65" s="16">
        <v>244570172</v>
      </c>
      <c r="G65" s="16">
        <v>244570172</v>
      </c>
      <c r="H65" s="17"/>
    </row>
    <row r="66" spans="1:8" ht="24.95" customHeight="1" x14ac:dyDescent="0.4">
      <c r="A66" s="13">
        <v>77326</v>
      </c>
      <c r="B66" s="14">
        <v>46219</v>
      </c>
      <c r="C66" s="15" t="s">
        <v>57</v>
      </c>
      <c r="D66" s="15" t="s">
        <v>5</v>
      </c>
      <c r="E66" s="15" t="s">
        <v>30</v>
      </c>
      <c r="F66" s="16">
        <v>327250000</v>
      </c>
      <c r="G66" s="16">
        <f>F66*$G$1</f>
        <v>229075000</v>
      </c>
      <c r="H66" s="17"/>
    </row>
    <row r="67" spans="1:8" ht="24.95" customHeight="1" x14ac:dyDescent="0.4">
      <c r="A67" s="13">
        <v>77776</v>
      </c>
      <c r="B67" s="14">
        <v>46217</v>
      </c>
      <c r="C67" s="15" t="s">
        <v>57</v>
      </c>
      <c r="D67" s="15" t="s">
        <v>5</v>
      </c>
      <c r="E67" s="15" t="s">
        <v>10</v>
      </c>
      <c r="F67" s="16">
        <v>393599523</v>
      </c>
      <c r="G67" s="16">
        <f>F67*$G$1</f>
        <v>275519666.09999996</v>
      </c>
      <c r="H67" s="17"/>
    </row>
    <row r="68" spans="1:8" ht="24.95" customHeight="1" x14ac:dyDescent="0.4">
      <c r="A68" s="13">
        <v>77777</v>
      </c>
      <c r="B68" s="14">
        <v>46217</v>
      </c>
      <c r="C68" s="15" t="s">
        <v>57</v>
      </c>
      <c r="D68" s="15" t="s">
        <v>5</v>
      </c>
      <c r="E68" s="15" t="s">
        <v>10</v>
      </c>
      <c r="F68" s="16">
        <v>163621649</v>
      </c>
      <c r="G68" s="16">
        <f>F68*$G$1</f>
        <v>114535154.3</v>
      </c>
      <c r="H68" s="17"/>
    </row>
    <row r="69" spans="1:8" ht="24.95" customHeight="1" x14ac:dyDescent="0.4">
      <c r="A69" s="13">
        <v>77362</v>
      </c>
      <c r="B69" s="14">
        <v>46196</v>
      </c>
      <c r="C69" s="15" t="s">
        <v>185</v>
      </c>
      <c r="D69" s="15" t="s">
        <v>5</v>
      </c>
      <c r="E69" s="15" t="s">
        <v>14</v>
      </c>
      <c r="F69" s="16">
        <v>276443133</v>
      </c>
      <c r="G69" s="16">
        <f>F69*$G$1</f>
        <v>193510193.09999999</v>
      </c>
      <c r="H69" s="17"/>
    </row>
    <row r="70" spans="1:8" ht="24.95" customHeight="1" x14ac:dyDescent="0.4">
      <c r="A70" s="13">
        <v>77047</v>
      </c>
      <c r="B70" s="14">
        <v>46192</v>
      </c>
      <c r="C70" s="15" t="s">
        <v>185</v>
      </c>
      <c r="D70" s="15" t="s">
        <v>5</v>
      </c>
      <c r="E70" s="15" t="s">
        <v>10</v>
      </c>
      <c r="F70" s="16">
        <v>1305134000</v>
      </c>
      <c r="G70" s="16">
        <f>F70*$G$1</f>
        <v>913593800</v>
      </c>
      <c r="H70" s="17"/>
    </row>
    <row r="71" spans="1:8" ht="24.95" customHeight="1" x14ac:dyDescent="0.4">
      <c r="A71" s="13">
        <v>77513</v>
      </c>
      <c r="B71" s="14">
        <v>46217</v>
      </c>
      <c r="C71" s="15" t="s">
        <v>185</v>
      </c>
      <c r="D71" s="15" t="s">
        <v>5</v>
      </c>
      <c r="E71" s="15" t="s">
        <v>11</v>
      </c>
      <c r="F71" s="16">
        <v>34200000</v>
      </c>
      <c r="G71" s="16">
        <f>F71*$G$1</f>
        <v>23940000</v>
      </c>
      <c r="H71" s="17" t="s">
        <v>11</v>
      </c>
    </row>
    <row r="72" spans="1:8" ht="24.95" customHeight="1" x14ac:dyDescent="0.4">
      <c r="A72" s="13">
        <v>75164</v>
      </c>
      <c r="B72" s="14">
        <v>46204</v>
      </c>
      <c r="C72" s="15" t="s">
        <v>98</v>
      </c>
      <c r="D72" s="15" t="s">
        <v>5</v>
      </c>
      <c r="E72" s="15" t="s">
        <v>14</v>
      </c>
      <c r="F72" s="16">
        <v>309150000</v>
      </c>
      <c r="G72" s="16">
        <f>F72*$G$1</f>
        <v>216405000</v>
      </c>
      <c r="H72" s="17"/>
    </row>
    <row r="73" spans="1:8" ht="24.95" customHeight="1" x14ac:dyDescent="0.4">
      <c r="A73" s="13">
        <v>75166</v>
      </c>
      <c r="B73" s="14">
        <v>46211</v>
      </c>
      <c r="C73" s="15" t="s">
        <v>98</v>
      </c>
      <c r="D73" s="15" t="s">
        <v>5</v>
      </c>
      <c r="E73" s="15" t="s">
        <v>14</v>
      </c>
      <c r="F73" s="16">
        <v>353360000</v>
      </c>
      <c r="G73" s="16">
        <f>F73*$G$1</f>
        <v>247351999.99999997</v>
      </c>
      <c r="H73" s="17"/>
    </row>
    <row r="74" spans="1:8" ht="24.95" customHeight="1" x14ac:dyDescent="0.4">
      <c r="A74" s="13">
        <v>77682</v>
      </c>
      <c r="B74" s="14">
        <v>46203</v>
      </c>
      <c r="C74" s="15" t="s">
        <v>143</v>
      </c>
      <c r="D74" s="15" t="s">
        <v>5</v>
      </c>
      <c r="E74" s="15" t="s">
        <v>8</v>
      </c>
      <c r="F74" s="16">
        <v>137754000</v>
      </c>
      <c r="G74" s="16">
        <f>F74*$G$1</f>
        <v>96427800</v>
      </c>
      <c r="H74" s="17"/>
    </row>
    <row r="75" spans="1:8" ht="24.95" customHeight="1" x14ac:dyDescent="0.4">
      <c r="A75" s="13">
        <v>76701</v>
      </c>
      <c r="B75" s="14">
        <v>46197</v>
      </c>
      <c r="C75" s="15" t="s">
        <v>143</v>
      </c>
      <c r="D75" s="15" t="s">
        <v>5</v>
      </c>
      <c r="E75" s="15" t="s">
        <v>14</v>
      </c>
      <c r="F75" s="16">
        <v>563440000</v>
      </c>
      <c r="G75" s="16">
        <f>F75*$G$1</f>
        <v>394408000</v>
      </c>
      <c r="H75" s="17"/>
    </row>
    <row r="76" spans="1:8" ht="24.95" customHeight="1" x14ac:dyDescent="0.4">
      <c r="A76" s="13">
        <v>77782</v>
      </c>
      <c r="B76" s="14">
        <v>46204</v>
      </c>
      <c r="C76" s="15" t="s">
        <v>362</v>
      </c>
      <c r="D76" s="15" t="s">
        <v>5</v>
      </c>
      <c r="E76" s="15" t="s">
        <v>147</v>
      </c>
      <c r="F76" s="16">
        <v>325000000</v>
      </c>
      <c r="G76" s="16">
        <f>F76*$G$1</f>
        <v>227500000</v>
      </c>
      <c r="H76" s="17"/>
    </row>
    <row r="77" spans="1:8" ht="24.95" customHeight="1" x14ac:dyDescent="0.4">
      <c r="A77" s="13">
        <v>77336</v>
      </c>
      <c r="B77" s="14">
        <v>46197</v>
      </c>
      <c r="C77" s="15" t="s">
        <v>241</v>
      </c>
      <c r="D77" s="15" t="s">
        <v>5</v>
      </c>
      <c r="E77" s="15" t="s">
        <v>14</v>
      </c>
      <c r="F77" s="16">
        <v>693144951.55999994</v>
      </c>
      <c r="G77" s="16">
        <f>F77*$G$1</f>
        <v>485201466.09199995</v>
      </c>
      <c r="H77" s="17"/>
    </row>
    <row r="78" spans="1:8" ht="24.95" customHeight="1" x14ac:dyDescent="0.4">
      <c r="A78" s="13">
        <v>75388</v>
      </c>
      <c r="B78" s="14">
        <v>46204</v>
      </c>
      <c r="C78" s="15" t="s">
        <v>103</v>
      </c>
      <c r="D78" s="15" t="s">
        <v>5</v>
      </c>
      <c r="E78" s="15" t="s">
        <v>15</v>
      </c>
      <c r="F78" s="16">
        <v>402494700</v>
      </c>
      <c r="G78" s="16">
        <f>F78*$G$1</f>
        <v>281746290</v>
      </c>
      <c r="H78" s="17"/>
    </row>
    <row r="79" spans="1:8" ht="24.95" customHeight="1" x14ac:dyDescent="0.4">
      <c r="A79" s="13">
        <v>75390</v>
      </c>
      <c r="B79" s="14">
        <v>46197</v>
      </c>
      <c r="C79" s="15" t="s">
        <v>103</v>
      </c>
      <c r="D79" s="15" t="s">
        <v>5</v>
      </c>
      <c r="E79" s="15" t="s">
        <v>9</v>
      </c>
      <c r="F79" s="16">
        <v>3300992000</v>
      </c>
      <c r="G79" s="16">
        <f>F79*$G$1</f>
        <v>2310694400</v>
      </c>
      <c r="H79" s="17"/>
    </row>
    <row r="80" spans="1:8" ht="24.95" customHeight="1" x14ac:dyDescent="0.4">
      <c r="A80" s="13">
        <v>76997</v>
      </c>
      <c r="B80" s="14">
        <v>46191</v>
      </c>
      <c r="C80" s="15" t="s">
        <v>55</v>
      </c>
      <c r="D80" s="15" t="s">
        <v>55</v>
      </c>
      <c r="E80" s="15" t="s">
        <v>15</v>
      </c>
      <c r="F80" s="16">
        <v>98837900</v>
      </c>
      <c r="G80" s="16">
        <f>F80*$G$1</f>
        <v>69186530</v>
      </c>
      <c r="H80" s="17"/>
    </row>
    <row r="81" spans="1:8" ht="24.95" customHeight="1" x14ac:dyDescent="0.4">
      <c r="A81" s="13">
        <v>77807</v>
      </c>
      <c r="B81" s="14">
        <v>46204</v>
      </c>
      <c r="C81" s="15" t="s">
        <v>55</v>
      </c>
      <c r="D81" s="15" t="s">
        <v>55</v>
      </c>
      <c r="E81" s="15" t="s">
        <v>14</v>
      </c>
      <c r="F81" s="16">
        <v>639633370</v>
      </c>
      <c r="G81" s="16">
        <f>F81*$G$1</f>
        <v>447743359</v>
      </c>
      <c r="H81" s="17"/>
    </row>
    <row r="82" spans="1:8" ht="24.95" customHeight="1" x14ac:dyDescent="0.4">
      <c r="A82" s="13">
        <v>77451</v>
      </c>
      <c r="B82" s="14">
        <v>46233</v>
      </c>
      <c r="C82" s="15" t="s">
        <v>55</v>
      </c>
      <c r="D82" s="15" t="s">
        <v>55</v>
      </c>
      <c r="E82" s="15" t="s">
        <v>10</v>
      </c>
      <c r="F82" s="16">
        <v>781166667</v>
      </c>
      <c r="G82" s="16">
        <f>F82*$G$1</f>
        <v>546816666.89999998</v>
      </c>
      <c r="H82" s="17"/>
    </row>
    <row r="83" spans="1:8" ht="24.95" customHeight="1" x14ac:dyDescent="0.4">
      <c r="A83" s="13">
        <v>77450</v>
      </c>
      <c r="B83" s="14">
        <v>46280</v>
      </c>
      <c r="C83" s="15" t="s">
        <v>55</v>
      </c>
      <c r="D83" s="15" t="s">
        <v>55</v>
      </c>
      <c r="E83" s="15" t="s">
        <v>147</v>
      </c>
      <c r="F83" s="16">
        <v>75800000</v>
      </c>
      <c r="G83" s="16">
        <f>F83*$G$1</f>
        <v>53060000</v>
      </c>
      <c r="H83" s="17"/>
    </row>
    <row r="84" spans="1:8" ht="24.95" customHeight="1" x14ac:dyDescent="0.4">
      <c r="A84" s="13">
        <v>76400</v>
      </c>
      <c r="B84" s="14">
        <v>46295</v>
      </c>
      <c r="C84" s="15" t="s">
        <v>126</v>
      </c>
      <c r="D84" s="15" t="s">
        <v>55</v>
      </c>
      <c r="E84" s="15" t="s">
        <v>14</v>
      </c>
      <c r="F84" s="16">
        <v>91190000</v>
      </c>
      <c r="G84" s="16">
        <f>F84*$G$1</f>
        <v>63832999.999999993</v>
      </c>
      <c r="H84" s="17"/>
    </row>
    <row r="85" spans="1:8" ht="24.95" customHeight="1" x14ac:dyDescent="0.4">
      <c r="A85" s="13">
        <v>76996</v>
      </c>
      <c r="B85" s="14">
        <v>46198</v>
      </c>
      <c r="C85" s="15" t="s">
        <v>168</v>
      </c>
      <c r="D85" s="15" t="s">
        <v>55</v>
      </c>
      <c r="E85" s="15" t="s">
        <v>28</v>
      </c>
      <c r="F85" s="16">
        <v>75047445</v>
      </c>
      <c r="G85" s="16">
        <f>F85*$G$1</f>
        <v>52533211.5</v>
      </c>
      <c r="H85" s="17"/>
    </row>
    <row r="86" spans="1:8" ht="24.95" customHeight="1" x14ac:dyDescent="0.4">
      <c r="A86" s="13">
        <v>77641</v>
      </c>
      <c r="B86" s="14">
        <v>46219</v>
      </c>
      <c r="C86" s="15" t="s">
        <v>168</v>
      </c>
      <c r="D86" s="15" t="s">
        <v>55</v>
      </c>
      <c r="E86" s="15" t="s">
        <v>14</v>
      </c>
      <c r="F86" s="16">
        <v>24704570</v>
      </c>
      <c r="G86" s="16">
        <f>F86*$G$1</f>
        <v>17293199</v>
      </c>
      <c r="H86" s="17"/>
    </row>
    <row r="87" spans="1:8" ht="24.95" customHeight="1" x14ac:dyDescent="0.4">
      <c r="A87" s="13">
        <v>77642</v>
      </c>
      <c r="B87" s="14">
        <v>46219</v>
      </c>
      <c r="C87" s="15" t="s">
        <v>168</v>
      </c>
      <c r="D87" s="15" t="s">
        <v>55</v>
      </c>
      <c r="E87" s="15" t="s">
        <v>14</v>
      </c>
      <c r="F87" s="16">
        <v>163808550</v>
      </c>
      <c r="G87" s="16">
        <f>F87*$G$1</f>
        <v>114665985</v>
      </c>
      <c r="H87" s="17"/>
    </row>
    <row r="88" spans="1:8" ht="24.95" customHeight="1" x14ac:dyDescent="0.4">
      <c r="A88" s="13">
        <v>77417</v>
      </c>
      <c r="B88" s="14">
        <v>46198</v>
      </c>
      <c r="C88" s="15" t="s">
        <v>255</v>
      </c>
      <c r="D88" s="15" t="s">
        <v>55</v>
      </c>
      <c r="E88" s="15" t="s">
        <v>14</v>
      </c>
      <c r="F88" s="16">
        <v>122978220</v>
      </c>
      <c r="G88" s="16">
        <f>F88*$G$1</f>
        <v>86084754</v>
      </c>
      <c r="H88" s="17"/>
    </row>
    <row r="89" spans="1:8" ht="24.95" customHeight="1" x14ac:dyDescent="0.4">
      <c r="A89" s="13">
        <v>76401</v>
      </c>
      <c r="B89" s="14">
        <v>46288</v>
      </c>
      <c r="C89" s="15" t="s">
        <v>131</v>
      </c>
      <c r="D89" s="15" t="s">
        <v>55</v>
      </c>
      <c r="E89" s="15" t="s">
        <v>9</v>
      </c>
      <c r="F89" s="16">
        <v>300201934</v>
      </c>
      <c r="G89" s="16">
        <f>F89*$G$1</f>
        <v>210141353.79999998</v>
      </c>
      <c r="H89" s="17"/>
    </row>
    <row r="90" spans="1:8" ht="24.95" customHeight="1" x14ac:dyDescent="0.4">
      <c r="A90" s="13">
        <v>77806</v>
      </c>
      <c r="B90" s="14">
        <v>46217</v>
      </c>
      <c r="C90" s="15" t="s">
        <v>33</v>
      </c>
      <c r="D90" s="15" t="s">
        <v>34</v>
      </c>
      <c r="E90" s="15" t="s">
        <v>8</v>
      </c>
      <c r="F90" s="16">
        <v>230154000</v>
      </c>
      <c r="G90" s="16">
        <f>F90*$G$1</f>
        <v>161107800</v>
      </c>
      <c r="H90" s="17"/>
    </row>
    <row r="91" spans="1:8" ht="24.95" customHeight="1" x14ac:dyDescent="0.4">
      <c r="A91" s="13">
        <v>72596</v>
      </c>
      <c r="B91" s="14" t="s">
        <v>66</v>
      </c>
      <c r="C91" s="15" t="s">
        <v>33</v>
      </c>
      <c r="D91" s="15" t="s">
        <v>34</v>
      </c>
      <c r="E91" s="15" t="s">
        <v>14</v>
      </c>
      <c r="F91" s="16">
        <v>76479000</v>
      </c>
      <c r="G91" s="16">
        <v>53535300</v>
      </c>
      <c r="H91" s="17"/>
    </row>
    <row r="92" spans="1:8" ht="24.95" customHeight="1" x14ac:dyDescent="0.4">
      <c r="A92" s="13">
        <v>77117</v>
      </c>
      <c r="B92" s="14">
        <v>46191</v>
      </c>
      <c r="C92" s="15" t="s">
        <v>33</v>
      </c>
      <c r="D92" s="15" t="s">
        <v>34</v>
      </c>
      <c r="E92" s="15" t="s">
        <v>14</v>
      </c>
      <c r="F92" s="16">
        <v>99741000</v>
      </c>
      <c r="G92" s="16">
        <f>F92*$G$1</f>
        <v>69818700</v>
      </c>
      <c r="H92" s="17"/>
    </row>
    <row r="93" spans="1:8" ht="24.95" customHeight="1" x14ac:dyDescent="0.4">
      <c r="A93" s="13">
        <v>77197</v>
      </c>
      <c r="B93" s="14">
        <v>46197</v>
      </c>
      <c r="C93" s="15" t="s">
        <v>33</v>
      </c>
      <c r="D93" s="15" t="s">
        <v>34</v>
      </c>
      <c r="E93" s="15" t="s">
        <v>14</v>
      </c>
      <c r="F93" s="16">
        <v>344979000</v>
      </c>
      <c r="G93" s="16">
        <f>F93*$G$1</f>
        <v>241485299.99999997</v>
      </c>
      <c r="H93" s="17"/>
    </row>
    <row r="94" spans="1:8" ht="24.95" customHeight="1" x14ac:dyDescent="0.4">
      <c r="A94" s="13">
        <v>77687</v>
      </c>
      <c r="B94" s="14">
        <v>46197</v>
      </c>
      <c r="C94" s="15" t="s">
        <v>33</v>
      </c>
      <c r="D94" s="15" t="s">
        <v>34</v>
      </c>
      <c r="E94" s="15" t="s">
        <v>14</v>
      </c>
      <c r="F94" s="16">
        <v>556740000</v>
      </c>
      <c r="G94" s="16">
        <f>F94*$G$1</f>
        <v>389718000</v>
      </c>
      <c r="H94" s="17"/>
    </row>
    <row r="95" spans="1:8" ht="24.95" customHeight="1" x14ac:dyDescent="0.4">
      <c r="A95" s="13">
        <v>77688</v>
      </c>
      <c r="B95" s="14">
        <v>46204</v>
      </c>
      <c r="C95" s="15" t="s">
        <v>33</v>
      </c>
      <c r="D95" s="15" t="s">
        <v>34</v>
      </c>
      <c r="E95" s="15" t="s">
        <v>14</v>
      </c>
      <c r="F95" s="16">
        <v>595429135</v>
      </c>
      <c r="G95" s="16">
        <f>F95*$G$1</f>
        <v>416800394.5</v>
      </c>
      <c r="H95" s="17"/>
    </row>
    <row r="96" spans="1:8" ht="24.95" customHeight="1" x14ac:dyDescent="0.4">
      <c r="A96" s="13">
        <v>76840</v>
      </c>
      <c r="B96" s="14">
        <v>46197</v>
      </c>
      <c r="C96" s="15" t="s">
        <v>33</v>
      </c>
      <c r="D96" s="15" t="s">
        <v>34</v>
      </c>
      <c r="E96" s="15" t="s">
        <v>10</v>
      </c>
      <c r="F96" s="16">
        <v>81538000</v>
      </c>
      <c r="G96" s="16">
        <f>F96*$G$1</f>
        <v>57076600</v>
      </c>
      <c r="H96" s="17"/>
    </row>
    <row r="97" spans="1:8" ht="24.95" customHeight="1" x14ac:dyDescent="0.4">
      <c r="A97" s="13">
        <v>77689</v>
      </c>
      <c r="B97" s="14">
        <v>46205</v>
      </c>
      <c r="C97" s="15" t="s">
        <v>33</v>
      </c>
      <c r="D97" s="15" t="s">
        <v>34</v>
      </c>
      <c r="E97" s="15" t="s">
        <v>11</v>
      </c>
      <c r="F97" s="16">
        <v>57314000</v>
      </c>
      <c r="G97" s="16">
        <f>F97*$G$1</f>
        <v>40119800</v>
      </c>
      <c r="H97" s="17" t="s">
        <v>339</v>
      </c>
    </row>
    <row r="98" spans="1:8" ht="24.95" customHeight="1" x14ac:dyDescent="0.4">
      <c r="A98" s="13">
        <v>77116</v>
      </c>
      <c r="B98" s="14">
        <v>46266</v>
      </c>
      <c r="C98" s="15" t="s">
        <v>198</v>
      </c>
      <c r="D98" s="15" t="s">
        <v>34</v>
      </c>
      <c r="E98" s="15" t="s">
        <v>14</v>
      </c>
      <c r="F98" s="16">
        <v>104052660</v>
      </c>
      <c r="G98" s="16">
        <f>F98*$G$1</f>
        <v>72836862</v>
      </c>
      <c r="H98" s="17"/>
    </row>
    <row r="99" spans="1:8" ht="24.95" customHeight="1" x14ac:dyDescent="0.4">
      <c r="A99" s="13">
        <v>77690</v>
      </c>
      <c r="B99" s="14">
        <v>46210</v>
      </c>
      <c r="C99" s="15" t="s">
        <v>198</v>
      </c>
      <c r="D99" s="15" t="s">
        <v>34</v>
      </c>
      <c r="E99" s="15" t="s">
        <v>14</v>
      </c>
      <c r="F99" s="16">
        <v>5669676600</v>
      </c>
      <c r="G99" s="16">
        <f>F99*$G$1</f>
        <v>3968773619.9999995</v>
      </c>
      <c r="H99" s="17"/>
    </row>
    <row r="100" spans="1:8" ht="24.95" customHeight="1" x14ac:dyDescent="0.4">
      <c r="A100" s="13">
        <v>77381</v>
      </c>
      <c r="B100" s="14">
        <v>46196</v>
      </c>
      <c r="C100" s="15" t="s">
        <v>64</v>
      </c>
      <c r="D100" s="15" t="s">
        <v>34</v>
      </c>
      <c r="E100" s="15" t="s">
        <v>8</v>
      </c>
      <c r="F100" s="16">
        <v>87719490</v>
      </c>
      <c r="G100" s="16">
        <f>F100*$G$1</f>
        <v>61403642.999999993</v>
      </c>
      <c r="H100" s="17"/>
    </row>
    <row r="101" spans="1:8" ht="24.95" customHeight="1" x14ac:dyDescent="0.4">
      <c r="A101" s="13">
        <v>77387</v>
      </c>
      <c r="B101" s="14">
        <v>46191</v>
      </c>
      <c r="C101" s="15" t="s">
        <v>64</v>
      </c>
      <c r="D101" s="15" t="s">
        <v>34</v>
      </c>
      <c r="E101" s="15" t="s">
        <v>8</v>
      </c>
      <c r="F101" s="16">
        <v>116050500</v>
      </c>
      <c r="G101" s="16">
        <f>F101*$G$1</f>
        <v>81235350</v>
      </c>
      <c r="H101" s="17"/>
    </row>
    <row r="102" spans="1:8" ht="24.95" customHeight="1" x14ac:dyDescent="0.4">
      <c r="A102" s="13">
        <v>77815</v>
      </c>
      <c r="B102" s="14">
        <v>46219</v>
      </c>
      <c r="C102" s="15" t="s">
        <v>64</v>
      </c>
      <c r="D102" s="15" t="s">
        <v>34</v>
      </c>
      <c r="E102" s="15" t="s">
        <v>8</v>
      </c>
      <c r="F102" s="16">
        <v>107887000</v>
      </c>
      <c r="G102" s="16">
        <f>F102*$G$1</f>
        <v>75520900</v>
      </c>
      <c r="H102" s="17"/>
    </row>
    <row r="103" spans="1:8" ht="24.95" customHeight="1" x14ac:dyDescent="0.4">
      <c r="A103" s="13">
        <v>77198</v>
      </c>
      <c r="B103" s="14">
        <v>46198</v>
      </c>
      <c r="C103" s="15" t="s">
        <v>64</v>
      </c>
      <c r="D103" s="15" t="s">
        <v>34</v>
      </c>
      <c r="E103" s="15" t="s">
        <v>14</v>
      </c>
      <c r="F103" s="16">
        <v>1797000</v>
      </c>
      <c r="G103" s="16">
        <f>F103*$G$1</f>
        <v>1257900</v>
      </c>
      <c r="H103" s="17"/>
    </row>
    <row r="104" spans="1:8" ht="24.95" customHeight="1" x14ac:dyDescent="0.4">
      <c r="A104" s="13">
        <v>77375</v>
      </c>
      <c r="B104" s="14">
        <v>46226</v>
      </c>
      <c r="C104" s="15" t="s">
        <v>64</v>
      </c>
      <c r="D104" s="15" t="s">
        <v>34</v>
      </c>
      <c r="E104" s="15" t="s">
        <v>14</v>
      </c>
      <c r="F104" s="16">
        <v>138103500</v>
      </c>
      <c r="G104" s="16">
        <f>F104*$G$1</f>
        <v>96672450</v>
      </c>
      <c r="H104" s="17"/>
    </row>
    <row r="105" spans="1:8" ht="24.95" customHeight="1" x14ac:dyDescent="0.4">
      <c r="A105" s="13">
        <v>77207</v>
      </c>
      <c r="B105" s="14">
        <v>46211</v>
      </c>
      <c r="C105" s="15" t="s">
        <v>32</v>
      </c>
      <c r="D105" s="15" t="s">
        <v>62</v>
      </c>
      <c r="E105" s="15" t="s">
        <v>45</v>
      </c>
      <c r="F105" s="16">
        <v>87768000</v>
      </c>
      <c r="G105" s="16">
        <f>F105*$G$1</f>
        <v>61437599.999999993</v>
      </c>
      <c r="H105" s="17"/>
    </row>
    <row r="106" spans="1:8" ht="24.95" customHeight="1" x14ac:dyDescent="0.4">
      <c r="A106" s="13">
        <v>77203</v>
      </c>
      <c r="B106" s="14">
        <v>46191</v>
      </c>
      <c r="C106" s="15" t="s">
        <v>32</v>
      </c>
      <c r="D106" s="15" t="s">
        <v>62</v>
      </c>
      <c r="E106" s="15" t="s">
        <v>172</v>
      </c>
      <c r="F106" s="16">
        <v>138436500</v>
      </c>
      <c r="G106" s="16">
        <f>F106*$G$1</f>
        <v>96905550</v>
      </c>
      <c r="H106" s="17"/>
    </row>
    <row r="107" spans="1:8" ht="24.95" customHeight="1" x14ac:dyDescent="0.4">
      <c r="A107" s="13">
        <v>76214</v>
      </c>
      <c r="B107" s="14">
        <v>46191</v>
      </c>
      <c r="C107" s="15" t="s">
        <v>32</v>
      </c>
      <c r="D107" s="15" t="s">
        <v>62</v>
      </c>
      <c r="E107" s="15" t="s">
        <v>14</v>
      </c>
      <c r="F107" s="16">
        <v>175218000</v>
      </c>
      <c r="G107" s="16">
        <f>F107*$G$1</f>
        <v>122652599.99999999</v>
      </c>
      <c r="H107" s="17"/>
    </row>
    <row r="108" spans="1:8" ht="24.95" customHeight="1" x14ac:dyDescent="0.4">
      <c r="A108" s="13">
        <v>77204</v>
      </c>
      <c r="B108" s="14">
        <v>46197</v>
      </c>
      <c r="C108" s="15" t="s">
        <v>32</v>
      </c>
      <c r="D108" s="15" t="s">
        <v>62</v>
      </c>
      <c r="E108" s="15" t="s">
        <v>14</v>
      </c>
      <c r="F108" s="16">
        <v>142887600</v>
      </c>
      <c r="G108" s="16">
        <f>F108*$G$1</f>
        <v>100021320</v>
      </c>
      <c r="H108" s="17"/>
    </row>
    <row r="109" spans="1:8" ht="24.95" customHeight="1" x14ac:dyDescent="0.4">
      <c r="A109" s="13">
        <v>77206</v>
      </c>
      <c r="B109" s="14">
        <v>46199</v>
      </c>
      <c r="C109" s="15" t="s">
        <v>32</v>
      </c>
      <c r="D109" s="15" t="s">
        <v>62</v>
      </c>
      <c r="E109" s="15" t="s">
        <v>212</v>
      </c>
      <c r="F109" s="16">
        <v>683745000</v>
      </c>
      <c r="G109" s="16">
        <f>F109*$G$1</f>
        <v>478621499.99999994</v>
      </c>
      <c r="H109" s="17"/>
    </row>
    <row r="110" spans="1:8" ht="24.95" customHeight="1" x14ac:dyDescent="0.4">
      <c r="A110" s="13">
        <v>77205</v>
      </c>
      <c r="B110" s="14">
        <v>46197</v>
      </c>
      <c r="C110" s="15" t="s">
        <v>32</v>
      </c>
      <c r="D110" s="15" t="s">
        <v>62</v>
      </c>
      <c r="E110" s="15" t="s">
        <v>11</v>
      </c>
      <c r="F110" s="16">
        <v>19041000</v>
      </c>
      <c r="G110" s="16">
        <f>F110*$G$1</f>
        <v>13328700</v>
      </c>
      <c r="H110" s="17" t="s">
        <v>211</v>
      </c>
    </row>
    <row r="111" spans="1:8" ht="24.95" customHeight="1" x14ac:dyDescent="0.4">
      <c r="A111" s="13">
        <v>76415</v>
      </c>
      <c r="B111" s="14">
        <v>46226</v>
      </c>
      <c r="C111" s="15" t="s">
        <v>58</v>
      </c>
      <c r="D111" s="15" t="s">
        <v>62</v>
      </c>
      <c r="E111" s="15" t="s">
        <v>59</v>
      </c>
      <c r="F111" s="16">
        <v>92062500</v>
      </c>
      <c r="G111" s="16">
        <f>F111*$G$1</f>
        <v>64443749.999999993</v>
      </c>
      <c r="H111" s="17"/>
    </row>
    <row r="112" spans="1:8" ht="24.95" customHeight="1" x14ac:dyDescent="0.4">
      <c r="A112" s="13">
        <v>76561</v>
      </c>
      <c r="B112" s="14">
        <v>46226</v>
      </c>
      <c r="C112" s="15" t="s">
        <v>58</v>
      </c>
      <c r="D112" s="15" t="s">
        <v>62</v>
      </c>
      <c r="E112" s="15" t="s">
        <v>59</v>
      </c>
      <c r="F112" s="16">
        <v>92062500</v>
      </c>
      <c r="G112" s="16">
        <f>F112*$G$1</f>
        <v>64443749.999999993</v>
      </c>
      <c r="H112" s="17"/>
    </row>
    <row r="113" spans="1:8" ht="24.95" customHeight="1" x14ac:dyDescent="0.4">
      <c r="A113" s="13">
        <v>77380</v>
      </c>
      <c r="B113" s="14">
        <v>46198</v>
      </c>
      <c r="C113" s="15" t="s">
        <v>32</v>
      </c>
      <c r="D113" s="15" t="s">
        <v>51</v>
      </c>
      <c r="E113" s="15" t="s">
        <v>8</v>
      </c>
      <c r="F113" s="16">
        <v>151857000</v>
      </c>
      <c r="G113" s="16">
        <f>F113*$G$1</f>
        <v>106299900</v>
      </c>
      <c r="H113" s="17"/>
    </row>
    <row r="114" spans="1:8" ht="24.95" customHeight="1" x14ac:dyDescent="0.4">
      <c r="A114" s="13">
        <v>77692</v>
      </c>
      <c r="B114" s="14">
        <v>46198</v>
      </c>
      <c r="C114" s="15" t="s">
        <v>32</v>
      </c>
      <c r="D114" s="15" t="s">
        <v>51</v>
      </c>
      <c r="E114" s="15" t="s">
        <v>59</v>
      </c>
      <c r="F114" s="16">
        <v>239887500</v>
      </c>
      <c r="G114" s="16">
        <f>F114*$G$1</f>
        <v>167921250</v>
      </c>
      <c r="H114" s="17"/>
    </row>
    <row r="115" spans="1:8" ht="24.95" customHeight="1" x14ac:dyDescent="0.4">
      <c r="A115" s="13">
        <v>72606</v>
      </c>
      <c r="B115" s="14" t="s">
        <v>69</v>
      </c>
      <c r="C115" s="15" t="s">
        <v>32</v>
      </c>
      <c r="D115" s="15" t="s">
        <v>51</v>
      </c>
      <c r="E115" s="15" t="s">
        <v>14</v>
      </c>
      <c r="F115" s="16">
        <v>32667100000</v>
      </c>
      <c r="G115" s="16">
        <f>F115*$G$1</f>
        <v>22866970000</v>
      </c>
      <c r="H115" s="17"/>
    </row>
    <row r="116" spans="1:8" ht="24.95" customHeight="1" x14ac:dyDescent="0.4">
      <c r="A116" s="13">
        <v>72610</v>
      </c>
      <c r="B116" s="14" t="s">
        <v>70</v>
      </c>
      <c r="C116" s="15" t="s">
        <v>32</v>
      </c>
      <c r="D116" s="15" t="s">
        <v>51</v>
      </c>
      <c r="E116" s="15" t="s">
        <v>14</v>
      </c>
      <c r="F116" s="16">
        <v>2139048000</v>
      </c>
      <c r="G116" s="16">
        <v>2139048000</v>
      </c>
      <c r="H116" s="17"/>
    </row>
    <row r="117" spans="1:8" ht="24.95" customHeight="1" x14ac:dyDescent="0.4">
      <c r="A117" s="13">
        <v>77562</v>
      </c>
      <c r="B117" s="14">
        <v>46198</v>
      </c>
      <c r="C117" s="15" t="s">
        <v>32</v>
      </c>
      <c r="D117" s="15" t="s">
        <v>51</v>
      </c>
      <c r="E117" s="15" t="s">
        <v>11</v>
      </c>
      <c r="F117" s="16">
        <v>29900000</v>
      </c>
      <c r="G117" s="16">
        <f>F117*$G$1</f>
        <v>20930000</v>
      </c>
      <c r="H117" s="17" t="s">
        <v>295</v>
      </c>
    </row>
    <row r="118" spans="1:8" ht="24.95" customHeight="1" x14ac:dyDescent="0.4">
      <c r="A118" s="13">
        <v>77759</v>
      </c>
      <c r="B118" s="14">
        <v>46172</v>
      </c>
      <c r="C118" s="15" t="s">
        <v>68</v>
      </c>
      <c r="D118" s="15" t="s">
        <v>51</v>
      </c>
      <c r="E118" s="15" t="s">
        <v>183</v>
      </c>
      <c r="F118" s="16">
        <v>72763043</v>
      </c>
      <c r="G118" s="16">
        <v>72763043</v>
      </c>
      <c r="H118" s="17"/>
    </row>
    <row r="119" spans="1:8" ht="24.95" customHeight="1" x14ac:dyDescent="0.4">
      <c r="A119" s="13">
        <v>72597</v>
      </c>
      <c r="B119" s="14" t="s">
        <v>67</v>
      </c>
      <c r="C119" s="15" t="s">
        <v>68</v>
      </c>
      <c r="D119" s="15" t="s">
        <v>51</v>
      </c>
      <c r="E119" s="15" t="s">
        <v>11</v>
      </c>
      <c r="F119" s="16">
        <v>3660000</v>
      </c>
      <c r="G119" s="16">
        <f>F119*$G$1</f>
        <v>2562000</v>
      </c>
      <c r="H119" s="17" t="s">
        <v>11</v>
      </c>
    </row>
    <row r="120" spans="1:8" ht="24.95" customHeight="1" x14ac:dyDescent="0.4">
      <c r="A120" s="13">
        <v>77693</v>
      </c>
      <c r="B120" s="14">
        <v>46198</v>
      </c>
      <c r="C120" s="15" t="s">
        <v>341</v>
      </c>
      <c r="D120" s="15" t="s">
        <v>51</v>
      </c>
      <c r="E120" s="15" t="s">
        <v>14</v>
      </c>
      <c r="F120" s="16">
        <v>70039955</v>
      </c>
      <c r="G120" s="16">
        <f>F120*$G$1</f>
        <v>49027968.5</v>
      </c>
      <c r="H120" s="17"/>
    </row>
    <row r="121" spans="1:8" ht="24.95" customHeight="1" x14ac:dyDescent="0.4">
      <c r="A121" s="13">
        <v>72605</v>
      </c>
      <c r="B121" s="14" t="s">
        <v>69</v>
      </c>
      <c r="C121" s="15" t="s">
        <v>58</v>
      </c>
      <c r="D121" s="15" t="s">
        <v>51</v>
      </c>
      <c r="E121" s="15" t="s">
        <v>14</v>
      </c>
      <c r="F121" s="16">
        <v>174109500</v>
      </c>
      <c r="G121" s="16">
        <f>F121*$G$1</f>
        <v>121876649.99999999</v>
      </c>
      <c r="H121" s="17"/>
    </row>
    <row r="122" spans="1:8" ht="24.95" customHeight="1" x14ac:dyDescent="0.4">
      <c r="A122" s="13">
        <v>76983</v>
      </c>
      <c r="B122" s="14">
        <v>46225</v>
      </c>
      <c r="C122" s="15" t="s">
        <v>12</v>
      </c>
      <c r="D122" s="15" t="s">
        <v>12</v>
      </c>
      <c r="E122" s="15" t="s">
        <v>14</v>
      </c>
      <c r="F122" s="16">
        <v>270000000</v>
      </c>
      <c r="G122" s="16">
        <f>F122*$G$1</f>
        <v>189000000</v>
      </c>
      <c r="H122" s="17"/>
    </row>
    <row r="123" spans="1:8" ht="24.95" customHeight="1" x14ac:dyDescent="0.4">
      <c r="A123" s="13">
        <v>76984</v>
      </c>
      <c r="B123" s="14">
        <v>46225</v>
      </c>
      <c r="C123" s="15" t="s">
        <v>12</v>
      </c>
      <c r="D123" s="15" t="s">
        <v>12</v>
      </c>
      <c r="E123" s="15" t="s">
        <v>121</v>
      </c>
      <c r="F123" s="16">
        <v>127500000</v>
      </c>
      <c r="G123" s="16">
        <f>F123*$G$1</f>
        <v>89250000</v>
      </c>
      <c r="H123" s="17"/>
    </row>
    <row r="124" spans="1:8" ht="24.95" customHeight="1" x14ac:dyDescent="0.4">
      <c r="A124" s="13">
        <v>76846</v>
      </c>
      <c r="B124" s="14">
        <v>46211</v>
      </c>
      <c r="C124" s="15" t="s">
        <v>86</v>
      </c>
      <c r="D124" s="15" t="s">
        <v>12</v>
      </c>
      <c r="E124" s="15" t="s">
        <v>158</v>
      </c>
      <c r="F124" s="16">
        <v>19585940</v>
      </c>
      <c r="G124" s="16">
        <f>F124*$G$1</f>
        <v>13710158</v>
      </c>
      <c r="H124" s="17"/>
    </row>
    <row r="125" spans="1:8" ht="24.95" customHeight="1" x14ac:dyDescent="0.4">
      <c r="A125" s="13">
        <v>77731</v>
      </c>
      <c r="B125" s="14">
        <v>46211</v>
      </c>
      <c r="C125" s="15" t="s">
        <v>86</v>
      </c>
      <c r="D125" s="15" t="s">
        <v>12</v>
      </c>
      <c r="E125" s="15" t="s">
        <v>197</v>
      </c>
      <c r="F125" s="16">
        <v>9985875</v>
      </c>
      <c r="G125" s="16">
        <f>F125*$G$1</f>
        <v>6990112.5</v>
      </c>
      <c r="H125" s="17"/>
    </row>
    <row r="126" spans="1:8" ht="24.95" customHeight="1" x14ac:dyDescent="0.4">
      <c r="A126" s="13">
        <v>77395</v>
      </c>
      <c r="B126" s="14">
        <v>46197</v>
      </c>
      <c r="C126" s="15" t="s">
        <v>86</v>
      </c>
      <c r="D126" s="15" t="s">
        <v>12</v>
      </c>
      <c r="E126" s="15" t="s">
        <v>8</v>
      </c>
      <c r="F126" s="16">
        <v>85219500</v>
      </c>
      <c r="G126" s="16">
        <f>F126*$G$1</f>
        <v>59653649.999999993</v>
      </c>
      <c r="H126" s="17"/>
    </row>
    <row r="127" spans="1:8" ht="24.95" customHeight="1" x14ac:dyDescent="0.4">
      <c r="A127" s="13">
        <v>77696</v>
      </c>
      <c r="B127" s="14">
        <v>46192</v>
      </c>
      <c r="C127" s="15" t="s">
        <v>86</v>
      </c>
      <c r="D127" s="15" t="s">
        <v>12</v>
      </c>
      <c r="E127" s="15" t="s">
        <v>8</v>
      </c>
      <c r="F127" s="16">
        <v>339713000</v>
      </c>
      <c r="G127" s="16">
        <f>F127*$G$1</f>
        <v>237799099.99999997</v>
      </c>
      <c r="H127" s="17"/>
    </row>
    <row r="128" spans="1:8" ht="24.95" customHeight="1" x14ac:dyDescent="0.4">
      <c r="A128" s="13">
        <v>77822</v>
      </c>
      <c r="B128" s="14">
        <v>46212</v>
      </c>
      <c r="C128" s="15" t="s">
        <v>86</v>
      </c>
      <c r="D128" s="15" t="s">
        <v>12</v>
      </c>
      <c r="E128" s="15" t="s">
        <v>8</v>
      </c>
      <c r="F128" s="16">
        <v>82723500</v>
      </c>
      <c r="G128" s="16">
        <f>F128*$G$1</f>
        <v>57906450</v>
      </c>
      <c r="H128" s="17"/>
    </row>
    <row r="129" spans="1:8" ht="24.95" customHeight="1" x14ac:dyDescent="0.4">
      <c r="A129" s="13">
        <v>77214</v>
      </c>
      <c r="B129" s="14">
        <v>46218</v>
      </c>
      <c r="C129" s="15" t="s">
        <v>86</v>
      </c>
      <c r="D129" s="15" t="s">
        <v>12</v>
      </c>
      <c r="E129" s="15" t="s">
        <v>14</v>
      </c>
      <c r="F129" s="16">
        <v>176000000</v>
      </c>
      <c r="G129" s="16">
        <f>F129*$G$1</f>
        <v>123199999.99999999</v>
      </c>
      <c r="H129" s="17"/>
    </row>
    <row r="130" spans="1:8" ht="24.95" customHeight="1" x14ac:dyDescent="0.4">
      <c r="A130" s="13">
        <v>77383</v>
      </c>
      <c r="B130" s="14">
        <v>46205</v>
      </c>
      <c r="C130" s="15" t="s">
        <v>86</v>
      </c>
      <c r="D130" s="15" t="s">
        <v>12</v>
      </c>
      <c r="E130" s="15" t="s">
        <v>14</v>
      </c>
      <c r="F130" s="16">
        <v>99033970</v>
      </c>
      <c r="G130" s="16">
        <f>F130*$G$1</f>
        <v>69323779</v>
      </c>
      <c r="H130" s="17"/>
    </row>
    <row r="131" spans="1:8" ht="24.95" customHeight="1" x14ac:dyDescent="0.4">
      <c r="A131" s="13">
        <v>77396</v>
      </c>
      <c r="B131" s="14">
        <v>46197</v>
      </c>
      <c r="C131" s="15" t="s">
        <v>86</v>
      </c>
      <c r="D131" s="15" t="s">
        <v>12</v>
      </c>
      <c r="E131" s="15" t="s">
        <v>14</v>
      </c>
      <c r="F131" s="16">
        <v>31834800</v>
      </c>
      <c r="G131" s="16">
        <f>F131*$G$1</f>
        <v>22284360</v>
      </c>
      <c r="H131" s="17"/>
    </row>
    <row r="132" spans="1:8" ht="24.95" customHeight="1" x14ac:dyDescent="0.4">
      <c r="A132" s="13">
        <v>77490</v>
      </c>
      <c r="B132" s="14">
        <v>46203</v>
      </c>
      <c r="C132" s="15" t="s">
        <v>276</v>
      </c>
      <c r="D132" s="15" t="s">
        <v>12</v>
      </c>
      <c r="E132" s="15" t="s">
        <v>10</v>
      </c>
      <c r="F132" s="16">
        <v>316576000</v>
      </c>
      <c r="G132" s="16">
        <f>F132*$G$1</f>
        <v>221603200</v>
      </c>
      <c r="H132" s="17"/>
    </row>
    <row r="133" spans="1:8" ht="24.95" customHeight="1" x14ac:dyDescent="0.4">
      <c r="A133" s="13">
        <v>77566</v>
      </c>
      <c r="B133" s="14">
        <v>46203</v>
      </c>
      <c r="C133" s="15" t="s">
        <v>297</v>
      </c>
      <c r="D133" s="15" t="s">
        <v>12</v>
      </c>
      <c r="E133" s="15" t="s">
        <v>298</v>
      </c>
      <c r="F133" s="16">
        <v>89575746.620000005</v>
      </c>
      <c r="G133" s="16">
        <f>F133*$G$1</f>
        <v>62703022.633999996</v>
      </c>
      <c r="H133" s="17"/>
    </row>
    <row r="134" spans="1:8" ht="24.95" customHeight="1" x14ac:dyDescent="0.4">
      <c r="A134" s="13">
        <v>77816</v>
      </c>
      <c r="B134" s="14">
        <v>46220</v>
      </c>
      <c r="C134" s="15" t="s">
        <v>231</v>
      </c>
      <c r="D134" s="15" t="s">
        <v>12</v>
      </c>
      <c r="E134" s="15" t="s">
        <v>14</v>
      </c>
      <c r="F134" s="16">
        <v>44160000</v>
      </c>
      <c r="G134" s="16">
        <f>F134*$G$1</f>
        <v>30911999.999999996</v>
      </c>
      <c r="H134" s="17"/>
    </row>
    <row r="135" spans="1:8" ht="24.95" customHeight="1" x14ac:dyDescent="0.4">
      <c r="A135" s="13">
        <v>77285</v>
      </c>
      <c r="B135" s="14">
        <v>46199</v>
      </c>
      <c r="C135" s="15" t="s">
        <v>231</v>
      </c>
      <c r="D135" s="15" t="s">
        <v>12</v>
      </c>
      <c r="E135" s="15" t="s">
        <v>37</v>
      </c>
      <c r="F135" s="16">
        <v>169288926</v>
      </c>
      <c r="G135" s="16">
        <f>F135*$G$1</f>
        <v>118502248.19999999</v>
      </c>
      <c r="H135" s="17"/>
    </row>
    <row r="136" spans="1:8" ht="24.95" customHeight="1" x14ac:dyDescent="0.4">
      <c r="A136" s="13">
        <v>77213</v>
      </c>
      <c r="B136" s="14">
        <v>46197</v>
      </c>
      <c r="C136" s="15" t="s">
        <v>138</v>
      </c>
      <c r="D136" s="15" t="s">
        <v>12</v>
      </c>
      <c r="E136" s="15" t="s">
        <v>45</v>
      </c>
      <c r="F136" s="16">
        <v>175000000</v>
      </c>
      <c r="G136" s="16">
        <f>F136*$G$1</f>
        <v>122499999.99999999</v>
      </c>
      <c r="H136" s="17"/>
    </row>
    <row r="137" spans="1:8" ht="24.95" customHeight="1" x14ac:dyDescent="0.4">
      <c r="A137" s="13">
        <v>77393</v>
      </c>
      <c r="B137" s="14">
        <v>46198</v>
      </c>
      <c r="C137" s="15" t="s">
        <v>250</v>
      </c>
      <c r="D137" s="15" t="s">
        <v>12</v>
      </c>
      <c r="E137" s="15" t="s">
        <v>10</v>
      </c>
      <c r="F137" s="16">
        <v>410835808</v>
      </c>
      <c r="G137" s="16">
        <f>F137*$G$1</f>
        <v>287585065.59999996</v>
      </c>
      <c r="H137" s="17"/>
    </row>
    <row r="138" spans="1:8" ht="24.95" customHeight="1" x14ac:dyDescent="0.4">
      <c r="A138" s="13">
        <v>77697</v>
      </c>
      <c r="B138" s="14">
        <v>46209</v>
      </c>
      <c r="C138" s="15" t="s">
        <v>19</v>
      </c>
      <c r="D138" s="15" t="s">
        <v>12</v>
      </c>
      <c r="E138" s="15" t="s">
        <v>136</v>
      </c>
      <c r="F138" s="16">
        <v>234098823</v>
      </c>
      <c r="G138" s="16">
        <f>F138*$G$1</f>
        <v>163869176.09999999</v>
      </c>
      <c r="H138" s="17"/>
    </row>
    <row r="139" spans="1:8" ht="24.95" customHeight="1" x14ac:dyDescent="0.4">
      <c r="A139" s="13">
        <v>76845</v>
      </c>
      <c r="B139" s="14">
        <v>46203</v>
      </c>
      <c r="C139" s="15" t="s">
        <v>19</v>
      </c>
      <c r="D139" s="15" t="s">
        <v>12</v>
      </c>
      <c r="E139" s="15" t="s">
        <v>8</v>
      </c>
      <c r="F139" s="16">
        <v>157202040</v>
      </c>
      <c r="G139" s="16">
        <f>F139*$G$1</f>
        <v>110041428</v>
      </c>
      <c r="H139" s="17"/>
    </row>
    <row r="140" spans="1:8" ht="24.95" customHeight="1" x14ac:dyDescent="0.4">
      <c r="A140" s="13">
        <v>76768</v>
      </c>
      <c r="B140" s="14">
        <v>46213</v>
      </c>
      <c r="C140" s="15" t="s">
        <v>19</v>
      </c>
      <c r="D140" s="15" t="s">
        <v>12</v>
      </c>
      <c r="E140" s="15" t="s">
        <v>99</v>
      </c>
      <c r="F140" s="16">
        <v>73500000</v>
      </c>
      <c r="G140" s="16">
        <f>F140*$G$1</f>
        <v>51450000</v>
      </c>
      <c r="H140" s="17"/>
    </row>
    <row r="141" spans="1:8" ht="24.95" customHeight="1" x14ac:dyDescent="0.4">
      <c r="A141" s="13">
        <v>77083</v>
      </c>
      <c r="B141" s="14">
        <v>46191</v>
      </c>
      <c r="C141" s="15" t="s">
        <v>19</v>
      </c>
      <c r="D141" s="15" t="s">
        <v>12</v>
      </c>
      <c r="E141" s="15" t="s">
        <v>14</v>
      </c>
      <c r="F141" s="16">
        <v>532641000</v>
      </c>
      <c r="G141" s="16">
        <f>F141*$G$1</f>
        <v>372848700</v>
      </c>
      <c r="H141" s="17"/>
    </row>
    <row r="142" spans="1:8" ht="24.95" customHeight="1" x14ac:dyDescent="0.4">
      <c r="A142" s="13">
        <v>77616</v>
      </c>
      <c r="B142" s="14">
        <v>46259</v>
      </c>
      <c r="C142" s="15" t="s">
        <v>19</v>
      </c>
      <c r="D142" s="15" t="s">
        <v>12</v>
      </c>
      <c r="E142" s="15" t="s">
        <v>14</v>
      </c>
      <c r="F142" s="16">
        <v>56825000</v>
      </c>
      <c r="G142" s="16">
        <f>F142*$G$1</f>
        <v>39777500</v>
      </c>
      <c r="H142" s="17"/>
    </row>
    <row r="143" spans="1:8" ht="24.95" customHeight="1" x14ac:dyDescent="0.4">
      <c r="A143" s="13">
        <v>77841</v>
      </c>
      <c r="B143" s="14">
        <v>46211</v>
      </c>
      <c r="C143" s="15" t="s">
        <v>19</v>
      </c>
      <c r="D143" s="15" t="s">
        <v>12</v>
      </c>
      <c r="E143" s="15" t="s">
        <v>14</v>
      </c>
      <c r="F143" s="16">
        <v>96861000</v>
      </c>
      <c r="G143" s="16">
        <f>F143*$G$1</f>
        <v>67802700</v>
      </c>
      <c r="H143" s="17"/>
    </row>
    <row r="144" spans="1:8" ht="24.95" customHeight="1" x14ac:dyDescent="0.4">
      <c r="A144" s="13">
        <v>76780</v>
      </c>
      <c r="B144" s="14">
        <v>46227</v>
      </c>
      <c r="C144" s="15" t="s">
        <v>19</v>
      </c>
      <c r="D144" s="15" t="s">
        <v>12</v>
      </c>
      <c r="E144" s="15" t="s">
        <v>11</v>
      </c>
      <c r="F144" s="16">
        <v>19936000</v>
      </c>
      <c r="G144" s="16">
        <f>F144*$G$1</f>
        <v>13955200</v>
      </c>
      <c r="H144" s="17" t="s">
        <v>153</v>
      </c>
    </row>
    <row r="145" spans="1:8" ht="24.95" customHeight="1" x14ac:dyDescent="0.4">
      <c r="A145" s="13">
        <v>77274</v>
      </c>
      <c r="B145" s="14">
        <v>46205</v>
      </c>
      <c r="C145" s="15" t="s">
        <v>226</v>
      </c>
      <c r="D145" s="15" t="s">
        <v>22</v>
      </c>
      <c r="E145" s="15" t="s">
        <v>14</v>
      </c>
      <c r="F145" s="16">
        <v>57600000</v>
      </c>
      <c r="G145" s="16">
        <f>F145*$G$1</f>
        <v>40320000</v>
      </c>
      <c r="H145" s="17"/>
    </row>
    <row r="146" spans="1:8" ht="24.95" customHeight="1" x14ac:dyDescent="0.4">
      <c r="A146" s="13">
        <v>77272</v>
      </c>
      <c r="B146" s="14">
        <v>46191</v>
      </c>
      <c r="C146" s="15" t="s">
        <v>223</v>
      </c>
      <c r="D146" s="15" t="s">
        <v>22</v>
      </c>
      <c r="E146" s="15" t="s">
        <v>14</v>
      </c>
      <c r="F146" s="16">
        <v>4084858549</v>
      </c>
      <c r="G146" s="16">
        <f>F146*$G$1</f>
        <v>2859400984.2999997</v>
      </c>
      <c r="H146" s="17"/>
    </row>
    <row r="147" spans="1:8" ht="24.95" customHeight="1" x14ac:dyDescent="0.4">
      <c r="A147" s="13">
        <v>77273</v>
      </c>
      <c r="B147" s="14">
        <v>46196</v>
      </c>
      <c r="C147" s="15" t="s">
        <v>224</v>
      </c>
      <c r="D147" s="15" t="s">
        <v>22</v>
      </c>
      <c r="E147" s="15" t="s">
        <v>225</v>
      </c>
      <c r="F147" s="16">
        <v>162003983</v>
      </c>
      <c r="G147" s="16">
        <f>F147*$G$1</f>
        <v>113402788.09999999</v>
      </c>
      <c r="H147" s="17"/>
    </row>
    <row r="148" spans="1:8" ht="24.95" customHeight="1" x14ac:dyDescent="0.4">
      <c r="A148" s="13">
        <v>77276</v>
      </c>
      <c r="B148" s="14">
        <v>46210</v>
      </c>
      <c r="C148" s="15" t="s">
        <v>120</v>
      </c>
      <c r="D148" s="15" t="s">
        <v>22</v>
      </c>
      <c r="E148" s="15" t="s">
        <v>14</v>
      </c>
      <c r="F148" s="16">
        <v>132000000</v>
      </c>
      <c r="G148" s="16">
        <f>F148*$G$1</f>
        <v>92400000</v>
      </c>
      <c r="H148" s="17"/>
    </row>
    <row r="149" spans="1:8" ht="24.95" customHeight="1" x14ac:dyDescent="0.4">
      <c r="A149" s="13">
        <v>77122</v>
      </c>
      <c r="B149" s="14">
        <v>46192</v>
      </c>
      <c r="C149" s="15" t="s">
        <v>120</v>
      </c>
      <c r="D149" s="15" t="s">
        <v>22</v>
      </c>
      <c r="E149" s="15" t="s">
        <v>11</v>
      </c>
      <c r="F149" s="16">
        <v>37153000</v>
      </c>
      <c r="G149" s="16">
        <f>F149*$G$1</f>
        <v>26007100</v>
      </c>
      <c r="H149" s="17" t="s">
        <v>201</v>
      </c>
    </row>
    <row r="150" spans="1:8" ht="24.95" customHeight="1" x14ac:dyDescent="0.4">
      <c r="A150" s="13">
        <v>77392</v>
      </c>
      <c r="B150" s="14">
        <v>46198</v>
      </c>
      <c r="C150" s="15" t="s">
        <v>148</v>
      </c>
      <c r="D150" s="15" t="s">
        <v>22</v>
      </c>
      <c r="E150" s="15" t="s">
        <v>14</v>
      </c>
      <c r="F150" s="16">
        <v>1112740500</v>
      </c>
      <c r="G150" s="16">
        <v>1112740500</v>
      </c>
      <c r="H150" s="17"/>
    </row>
    <row r="151" spans="1:8" ht="24.95" customHeight="1" x14ac:dyDescent="0.4">
      <c r="A151" s="13">
        <v>77471</v>
      </c>
      <c r="B151" s="14">
        <v>46210</v>
      </c>
      <c r="C151" s="15" t="s">
        <v>148</v>
      </c>
      <c r="D151" s="15" t="s">
        <v>22</v>
      </c>
      <c r="E151" s="15" t="s">
        <v>14</v>
      </c>
      <c r="F151" s="16">
        <v>13581000</v>
      </c>
      <c r="G151" s="16">
        <f>F151*$G$1</f>
        <v>9506700</v>
      </c>
      <c r="H151" s="17"/>
    </row>
    <row r="152" spans="1:8" ht="24.95" customHeight="1" x14ac:dyDescent="0.4">
      <c r="A152" s="13">
        <v>77422</v>
      </c>
      <c r="B152" s="14">
        <v>46191</v>
      </c>
      <c r="C152" s="15" t="s">
        <v>148</v>
      </c>
      <c r="D152" s="15" t="s">
        <v>22</v>
      </c>
      <c r="E152" s="15" t="s">
        <v>10</v>
      </c>
      <c r="F152" s="16">
        <v>3396550000</v>
      </c>
      <c r="G152" s="16">
        <f>F152*$G$1</f>
        <v>2377585000</v>
      </c>
      <c r="H152" s="17"/>
    </row>
    <row r="153" spans="1:8" ht="24.95" customHeight="1" x14ac:dyDescent="0.4">
      <c r="A153" s="13">
        <v>77423</v>
      </c>
      <c r="B153" s="14">
        <v>46191</v>
      </c>
      <c r="C153" s="15" t="s">
        <v>148</v>
      </c>
      <c r="D153" s="15" t="s">
        <v>22</v>
      </c>
      <c r="E153" s="15" t="s">
        <v>10</v>
      </c>
      <c r="F153" s="16">
        <v>13791170000</v>
      </c>
      <c r="G153" s="16">
        <f>F153*$G$1</f>
        <v>9653819000</v>
      </c>
      <c r="H153" s="17"/>
    </row>
    <row r="154" spans="1:8" ht="24.95" customHeight="1" x14ac:dyDescent="0.4">
      <c r="A154" s="13">
        <v>77424</v>
      </c>
      <c r="B154" s="14">
        <v>46191</v>
      </c>
      <c r="C154" s="15" t="s">
        <v>148</v>
      </c>
      <c r="D154" s="15" t="s">
        <v>22</v>
      </c>
      <c r="E154" s="15" t="s">
        <v>10</v>
      </c>
      <c r="F154" s="16">
        <v>447337500</v>
      </c>
      <c r="G154" s="16">
        <f>F154*$G$1</f>
        <v>313136250</v>
      </c>
      <c r="H154" s="17"/>
    </row>
    <row r="155" spans="1:8" ht="24.95" customHeight="1" x14ac:dyDescent="0.4">
      <c r="A155" s="13">
        <v>77139</v>
      </c>
      <c r="B155" s="14">
        <v>46217</v>
      </c>
      <c r="C155" s="15" t="s">
        <v>31</v>
      </c>
      <c r="D155" s="15" t="s">
        <v>22</v>
      </c>
      <c r="E155" s="15" t="s">
        <v>202</v>
      </c>
      <c r="F155" s="16">
        <v>61683500</v>
      </c>
      <c r="G155" s="16">
        <f>F155*$G$1</f>
        <v>43178450</v>
      </c>
      <c r="H155" s="17"/>
    </row>
    <row r="156" spans="1:8" ht="24.95" customHeight="1" x14ac:dyDescent="0.4">
      <c r="A156" s="13">
        <v>77131</v>
      </c>
      <c r="B156" s="14">
        <v>46196</v>
      </c>
      <c r="C156" s="15" t="s">
        <v>31</v>
      </c>
      <c r="D156" s="15" t="s">
        <v>22</v>
      </c>
      <c r="E156" s="15" t="s">
        <v>45</v>
      </c>
      <c r="F156" s="16">
        <v>53100105</v>
      </c>
      <c r="G156" s="16">
        <f>F156*$G$1</f>
        <v>37170073.5</v>
      </c>
      <c r="H156" s="17"/>
    </row>
    <row r="157" spans="1:8" ht="24.95" customHeight="1" x14ac:dyDescent="0.4">
      <c r="A157" s="13">
        <v>77136</v>
      </c>
      <c r="B157" s="14">
        <v>46212</v>
      </c>
      <c r="C157" s="15" t="s">
        <v>31</v>
      </c>
      <c r="D157" s="15" t="s">
        <v>22</v>
      </c>
      <c r="E157" s="15" t="s">
        <v>45</v>
      </c>
      <c r="F157" s="16">
        <v>73296345</v>
      </c>
      <c r="G157" s="16">
        <f>F157*$G$1</f>
        <v>51307441.5</v>
      </c>
      <c r="H157" s="17"/>
    </row>
    <row r="158" spans="1:8" ht="24.95" customHeight="1" x14ac:dyDescent="0.4">
      <c r="A158" s="13">
        <v>77141</v>
      </c>
      <c r="B158" s="14">
        <v>46224</v>
      </c>
      <c r="C158" s="15" t="s">
        <v>31</v>
      </c>
      <c r="D158" s="15" t="s">
        <v>22</v>
      </c>
      <c r="E158" s="15" t="s">
        <v>45</v>
      </c>
      <c r="F158" s="16">
        <v>117559823</v>
      </c>
      <c r="G158" s="16">
        <f>F158*$G$1</f>
        <v>82291876.099999994</v>
      </c>
      <c r="H158" s="17"/>
    </row>
    <row r="159" spans="1:8" ht="24.95" customHeight="1" x14ac:dyDescent="0.4">
      <c r="A159" s="13">
        <v>77137</v>
      </c>
      <c r="B159" s="14">
        <v>46213</v>
      </c>
      <c r="C159" s="15" t="s">
        <v>31</v>
      </c>
      <c r="D159" s="15" t="s">
        <v>22</v>
      </c>
      <c r="E159" s="15" t="s">
        <v>8</v>
      </c>
      <c r="F159" s="16">
        <v>323687749.42000002</v>
      </c>
      <c r="G159" s="16">
        <f>F159*$G$1</f>
        <v>226581424.59400001</v>
      </c>
      <c r="H159" s="17"/>
    </row>
    <row r="160" spans="1:8" ht="24.95" customHeight="1" x14ac:dyDescent="0.4">
      <c r="A160" s="13">
        <v>77431</v>
      </c>
      <c r="B160" s="14">
        <v>46218</v>
      </c>
      <c r="C160" s="15" t="s">
        <v>31</v>
      </c>
      <c r="D160" s="15" t="s">
        <v>22</v>
      </c>
      <c r="E160" s="15" t="s">
        <v>8</v>
      </c>
      <c r="F160" s="16">
        <v>313389000</v>
      </c>
      <c r="G160" s="16">
        <f>F160*$G$1</f>
        <v>219372300</v>
      </c>
      <c r="H160" s="17"/>
    </row>
    <row r="161" spans="1:8" ht="24.95" customHeight="1" x14ac:dyDescent="0.4">
      <c r="A161" s="13">
        <v>77129</v>
      </c>
      <c r="B161" s="14">
        <v>46191</v>
      </c>
      <c r="C161" s="15" t="s">
        <v>31</v>
      </c>
      <c r="D161" s="15" t="s">
        <v>22</v>
      </c>
      <c r="E161" s="15" t="s">
        <v>99</v>
      </c>
      <c r="F161" s="16">
        <v>15922500</v>
      </c>
      <c r="G161" s="16">
        <f>F161*$G$1</f>
        <v>11145750</v>
      </c>
      <c r="H161" s="17"/>
    </row>
    <row r="162" spans="1:8" ht="24.95" customHeight="1" x14ac:dyDescent="0.4">
      <c r="A162" s="13">
        <v>76222</v>
      </c>
      <c r="B162" s="14">
        <v>46191</v>
      </c>
      <c r="C162" s="15" t="s">
        <v>31</v>
      </c>
      <c r="D162" s="15" t="s">
        <v>22</v>
      </c>
      <c r="E162" s="15" t="s">
        <v>14</v>
      </c>
      <c r="F162" s="16">
        <v>373399163</v>
      </c>
      <c r="G162" s="16">
        <f>F162*$G$1</f>
        <v>261379414.09999999</v>
      </c>
      <c r="H162" s="17"/>
    </row>
    <row r="163" spans="1:8" ht="24.95" customHeight="1" x14ac:dyDescent="0.4">
      <c r="A163" s="13">
        <v>76856</v>
      </c>
      <c r="B163" s="14">
        <v>46203</v>
      </c>
      <c r="C163" s="15" t="s">
        <v>31</v>
      </c>
      <c r="D163" s="15" t="s">
        <v>22</v>
      </c>
      <c r="E163" s="15" t="s">
        <v>14</v>
      </c>
      <c r="F163" s="16">
        <v>262092000</v>
      </c>
      <c r="G163" s="16">
        <f>F163*$G$1</f>
        <v>183464400</v>
      </c>
      <c r="H163" s="17"/>
    </row>
    <row r="164" spans="1:8" ht="24.95" customHeight="1" x14ac:dyDescent="0.4">
      <c r="A164" s="13">
        <v>77130</v>
      </c>
      <c r="B164" s="14">
        <v>46192</v>
      </c>
      <c r="C164" s="15" t="s">
        <v>31</v>
      </c>
      <c r="D164" s="15" t="s">
        <v>22</v>
      </c>
      <c r="E164" s="15" t="s">
        <v>14</v>
      </c>
      <c r="F164" s="16">
        <v>960195000</v>
      </c>
      <c r="G164" s="16">
        <f>F164*$G$1</f>
        <v>672136500</v>
      </c>
      <c r="H164" s="17"/>
    </row>
    <row r="165" spans="1:8" ht="24.95" customHeight="1" x14ac:dyDescent="0.4">
      <c r="A165" s="13">
        <v>77132</v>
      </c>
      <c r="B165" s="14">
        <v>46196</v>
      </c>
      <c r="C165" s="15" t="s">
        <v>31</v>
      </c>
      <c r="D165" s="15" t="s">
        <v>22</v>
      </c>
      <c r="E165" s="15" t="s">
        <v>14</v>
      </c>
      <c r="F165" s="16">
        <v>337405500</v>
      </c>
      <c r="G165" s="16">
        <f>F165*$G$1</f>
        <v>236183849.99999997</v>
      </c>
      <c r="H165" s="17"/>
    </row>
    <row r="166" spans="1:8" ht="24.95" customHeight="1" x14ac:dyDescent="0.4">
      <c r="A166" s="13">
        <v>77133</v>
      </c>
      <c r="B166" s="14">
        <v>46203</v>
      </c>
      <c r="C166" s="15" t="s">
        <v>31</v>
      </c>
      <c r="D166" s="15" t="s">
        <v>22</v>
      </c>
      <c r="E166" s="15" t="s">
        <v>14</v>
      </c>
      <c r="F166" s="16">
        <v>9957930</v>
      </c>
      <c r="G166" s="16">
        <f>F166*$G$1</f>
        <v>6970551</v>
      </c>
      <c r="H166" s="17"/>
    </row>
    <row r="167" spans="1:8" ht="24.95" customHeight="1" x14ac:dyDescent="0.4">
      <c r="A167" s="13">
        <v>77134</v>
      </c>
      <c r="B167" s="14">
        <v>46205</v>
      </c>
      <c r="C167" s="15" t="s">
        <v>31</v>
      </c>
      <c r="D167" s="15" t="s">
        <v>22</v>
      </c>
      <c r="E167" s="15" t="s">
        <v>14</v>
      </c>
      <c r="F167" s="16">
        <v>132914805</v>
      </c>
      <c r="G167" s="16">
        <f>F167*$G$1</f>
        <v>93040363.5</v>
      </c>
      <c r="H167" s="17"/>
    </row>
    <row r="168" spans="1:8" ht="24.95" customHeight="1" x14ac:dyDescent="0.4">
      <c r="A168" s="13">
        <v>77135</v>
      </c>
      <c r="B168" s="14">
        <v>46206</v>
      </c>
      <c r="C168" s="15" t="s">
        <v>31</v>
      </c>
      <c r="D168" s="15" t="s">
        <v>22</v>
      </c>
      <c r="E168" s="15" t="s">
        <v>14</v>
      </c>
      <c r="F168" s="16">
        <v>431254500</v>
      </c>
      <c r="G168" s="16">
        <f>F168*$G$1</f>
        <v>301878150</v>
      </c>
      <c r="H168" s="17"/>
    </row>
    <row r="169" spans="1:8" ht="24.95" customHeight="1" x14ac:dyDescent="0.4">
      <c r="A169" s="13">
        <v>77138</v>
      </c>
      <c r="B169" s="14">
        <v>46217</v>
      </c>
      <c r="C169" s="15" t="s">
        <v>31</v>
      </c>
      <c r="D169" s="15" t="s">
        <v>22</v>
      </c>
      <c r="E169" s="15" t="s">
        <v>14</v>
      </c>
      <c r="F169" s="16">
        <v>354327210</v>
      </c>
      <c r="G169" s="16">
        <f>F169*$G$1</f>
        <v>248029046.99999997</v>
      </c>
      <c r="H169" s="17"/>
    </row>
    <row r="170" spans="1:8" ht="24.95" customHeight="1" x14ac:dyDescent="0.4">
      <c r="A170" s="13">
        <v>77142</v>
      </c>
      <c r="B170" s="14">
        <v>46231</v>
      </c>
      <c r="C170" s="15" t="s">
        <v>31</v>
      </c>
      <c r="D170" s="15" t="s">
        <v>22</v>
      </c>
      <c r="E170" s="15" t="s">
        <v>14</v>
      </c>
      <c r="F170" s="16">
        <v>142696500</v>
      </c>
      <c r="G170" s="16">
        <f>F170*$G$1</f>
        <v>99887550</v>
      </c>
      <c r="H170" s="17"/>
    </row>
    <row r="171" spans="1:8" ht="24.95" customHeight="1" x14ac:dyDescent="0.4">
      <c r="A171" s="13">
        <v>76985</v>
      </c>
      <c r="B171" s="14">
        <v>46203</v>
      </c>
      <c r="C171" s="15" t="s">
        <v>31</v>
      </c>
      <c r="D171" s="15" t="s">
        <v>22</v>
      </c>
      <c r="E171" s="15" t="s">
        <v>169</v>
      </c>
      <c r="F171" s="16">
        <v>659192630</v>
      </c>
      <c r="G171" s="16">
        <f>F171*$G$1</f>
        <v>461434841</v>
      </c>
      <c r="H171" s="17"/>
    </row>
    <row r="172" spans="1:8" ht="24.95" customHeight="1" x14ac:dyDescent="0.4">
      <c r="A172" s="13">
        <v>77432</v>
      </c>
      <c r="B172" s="14">
        <v>46218</v>
      </c>
      <c r="C172" s="15" t="s">
        <v>31</v>
      </c>
      <c r="D172" s="15" t="s">
        <v>22</v>
      </c>
      <c r="E172" s="15" t="s">
        <v>56</v>
      </c>
      <c r="F172" s="16">
        <v>25213500</v>
      </c>
      <c r="G172" s="16">
        <f>F172*$G$1</f>
        <v>17649450</v>
      </c>
      <c r="H172" s="17"/>
    </row>
    <row r="173" spans="1:8" ht="24.95" customHeight="1" x14ac:dyDescent="0.4">
      <c r="A173" s="13">
        <v>77275</v>
      </c>
      <c r="B173" s="14">
        <v>46205</v>
      </c>
      <c r="C173" s="15" t="s">
        <v>31</v>
      </c>
      <c r="D173" s="15" t="s">
        <v>22</v>
      </c>
      <c r="E173" s="15" t="s">
        <v>9</v>
      </c>
      <c r="F173" s="16">
        <v>360070000</v>
      </c>
      <c r="G173" s="16">
        <v>360070000</v>
      </c>
      <c r="H173" s="17"/>
    </row>
    <row r="174" spans="1:8" ht="24.95" customHeight="1" x14ac:dyDescent="0.4">
      <c r="A174" s="13">
        <v>77698</v>
      </c>
      <c r="B174" s="14">
        <v>46197</v>
      </c>
      <c r="C174" s="15" t="s">
        <v>31</v>
      </c>
      <c r="D174" s="15" t="s">
        <v>22</v>
      </c>
      <c r="E174" s="15" t="s">
        <v>9</v>
      </c>
      <c r="F174" s="16">
        <v>1210740000</v>
      </c>
      <c r="G174" s="16">
        <v>1210740000</v>
      </c>
      <c r="H174" s="17"/>
    </row>
    <row r="175" spans="1:8" ht="24.95" customHeight="1" x14ac:dyDescent="0.4">
      <c r="A175" s="13">
        <v>77140</v>
      </c>
      <c r="B175" s="14">
        <v>46219</v>
      </c>
      <c r="C175" s="15" t="s">
        <v>31</v>
      </c>
      <c r="D175" s="15" t="s">
        <v>22</v>
      </c>
      <c r="E175" s="15" t="s">
        <v>11</v>
      </c>
      <c r="F175" s="16">
        <v>80853000</v>
      </c>
      <c r="G175" s="16">
        <f>F175*$G$1</f>
        <v>56597100</v>
      </c>
      <c r="H175" s="17" t="s">
        <v>203</v>
      </c>
    </row>
    <row r="176" spans="1:8" ht="24.95" customHeight="1" x14ac:dyDescent="0.4">
      <c r="A176" s="13">
        <v>77121</v>
      </c>
      <c r="B176" s="14">
        <v>46211</v>
      </c>
      <c r="C176" s="15" t="s">
        <v>199</v>
      </c>
      <c r="D176" s="15" t="s">
        <v>22</v>
      </c>
      <c r="E176" s="15" t="s">
        <v>200</v>
      </c>
      <c r="F176" s="16">
        <v>89310000</v>
      </c>
      <c r="G176" s="16">
        <f>F176*$G$1</f>
        <v>62516999.999999993</v>
      </c>
      <c r="H176" s="17"/>
    </row>
    <row r="177" spans="1:8" ht="24.95" customHeight="1" x14ac:dyDescent="0.4">
      <c r="A177" s="13">
        <v>77120</v>
      </c>
      <c r="B177" s="14">
        <v>46195</v>
      </c>
      <c r="C177" s="15" t="s">
        <v>199</v>
      </c>
      <c r="D177" s="15" t="s">
        <v>22</v>
      </c>
      <c r="E177" s="15" t="s">
        <v>104</v>
      </c>
      <c r="F177" s="16">
        <v>277400000</v>
      </c>
      <c r="G177" s="16">
        <f>F177*$G$1</f>
        <v>194180000</v>
      </c>
      <c r="H177" s="17"/>
    </row>
    <row r="178" spans="1:8" ht="24.95" customHeight="1" x14ac:dyDescent="0.4">
      <c r="A178" s="13">
        <v>77699</v>
      </c>
      <c r="B178" s="14">
        <v>46197</v>
      </c>
      <c r="C178" s="15" t="s">
        <v>343</v>
      </c>
      <c r="D178" s="15" t="s">
        <v>22</v>
      </c>
      <c r="E178" s="15" t="s">
        <v>9</v>
      </c>
      <c r="F178" s="16">
        <v>127574200</v>
      </c>
      <c r="G178" s="16">
        <f>F178*$G$1</f>
        <v>89301940</v>
      </c>
      <c r="H178" s="17"/>
    </row>
    <row r="179" spans="1:8" ht="24.95" customHeight="1" x14ac:dyDescent="0.4">
      <c r="A179" s="13">
        <v>76782</v>
      </c>
      <c r="B179" s="14">
        <v>46196</v>
      </c>
      <c r="C179" s="15" t="s">
        <v>154</v>
      </c>
      <c r="D179" s="15" t="s">
        <v>22</v>
      </c>
      <c r="E179" s="15" t="s">
        <v>37</v>
      </c>
      <c r="F179" s="16">
        <v>226589209</v>
      </c>
      <c r="G179" s="16">
        <v>226589209</v>
      </c>
      <c r="H179" s="17"/>
    </row>
    <row r="180" spans="1:8" ht="24.95" customHeight="1" x14ac:dyDescent="0.4">
      <c r="A180" s="13">
        <v>76781</v>
      </c>
      <c r="B180" s="14">
        <v>46220</v>
      </c>
      <c r="C180" s="15" t="s">
        <v>87</v>
      </c>
      <c r="D180" s="15" t="s">
        <v>22</v>
      </c>
      <c r="E180" s="15" t="s">
        <v>8</v>
      </c>
      <c r="F180" s="16">
        <v>155031000</v>
      </c>
      <c r="G180" s="16">
        <f>F180*$G$1</f>
        <v>108521700</v>
      </c>
      <c r="H180" s="17"/>
    </row>
    <row r="181" spans="1:8" ht="24.95" customHeight="1" x14ac:dyDescent="0.4">
      <c r="A181" s="13">
        <v>76938</v>
      </c>
      <c r="B181" s="14">
        <v>46233</v>
      </c>
      <c r="C181" s="15" t="s">
        <v>75</v>
      </c>
      <c r="D181" s="15" t="s">
        <v>76</v>
      </c>
      <c r="E181" s="15" t="s">
        <v>15</v>
      </c>
      <c r="F181" s="16">
        <v>227354112</v>
      </c>
      <c r="G181" s="16">
        <f>F181*$G$1</f>
        <v>159147878.39999998</v>
      </c>
      <c r="H181" s="17"/>
    </row>
    <row r="182" spans="1:8" ht="24.95" customHeight="1" x14ac:dyDescent="0.4">
      <c r="A182" s="13">
        <v>77470</v>
      </c>
      <c r="B182" s="14">
        <v>46203</v>
      </c>
      <c r="C182" s="15" t="s">
        <v>75</v>
      </c>
      <c r="D182" s="15" t="s">
        <v>76</v>
      </c>
      <c r="E182" s="15" t="s">
        <v>14</v>
      </c>
      <c r="F182" s="16">
        <v>154833000</v>
      </c>
      <c r="G182" s="16">
        <f>F182*$G$1</f>
        <v>108383100</v>
      </c>
      <c r="H182" s="17"/>
    </row>
    <row r="183" spans="1:8" ht="24.95" customHeight="1" x14ac:dyDescent="0.4">
      <c r="A183" s="13">
        <v>77542</v>
      </c>
      <c r="B183" s="14">
        <v>46199</v>
      </c>
      <c r="C183" s="15" t="s">
        <v>75</v>
      </c>
      <c r="D183" s="15" t="s">
        <v>76</v>
      </c>
      <c r="E183" s="15" t="s">
        <v>10</v>
      </c>
      <c r="F183" s="16">
        <v>42685000</v>
      </c>
      <c r="G183" s="16">
        <f>F183*$G$1</f>
        <v>29879499.999999996</v>
      </c>
      <c r="H183" s="17"/>
    </row>
    <row r="184" spans="1:8" ht="24.95" customHeight="1" x14ac:dyDescent="0.4">
      <c r="A184" s="13">
        <v>72840</v>
      </c>
      <c r="B184" s="14">
        <v>46379</v>
      </c>
      <c r="C184" s="15" t="s">
        <v>75</v>
      </c>
      <c r="D184" s="15" t="s">
        <v>76</v>
      </c>
      <c r="E184" s="15" t="s">
        <v>77</v>
      </c>
      <c r="F184" s="16" t="s">
        <v>74</v>
      </c>
      <c r="G184" s="16">
        <v>4550000</v>
      </c>
      <c r="H184" s="17" t="s">
        <v>78</v>
      </c>
    </row>
    <row r="185" spans="1:8" ht="24.95" customHeight="1" x14ac:dyDescent="0.4">
      <c r="A185" s="13">
        <v>77313</v>
      </c>
      <c r="B185" s="14">
        <v>46191</v>
      </c>
      <c r="C185" s="15" t="s">
        <v>75</v>
      </c>
      <c r="D185" s="15" t="s">
        <v>76</v>
      </c>
      <c r="E185" s="15" t="s">
        <v>9</v>
      </c>
      <c r="F185" s="16">
        <v>133460473</v>
      </c>
      <c r="G185" s="16">
        <f>F185*$G$1</f>
        <v>93422331.099999994</v>
      </c>
      <c r="H185" s="17"/>
    </row>
    <row r="186" spans="1:8" ht="24.95" customHeight="1" x14ac:dyDescent="0.4">
      <c r="A186" s="13">
        <v>77643</v>
      </c>
      <c r="B186" s="14">
        <v>46209</v>
      </c>
      <c r="C186" s="15" t="s">
        <v>325</v>
      </c>
      <c r="D186" s="15" t="s">
        <v>141</v>
      </c>
      <c r="E186" s="15" t="s">
        <v>14</v>
      </c>
      <c r="F186" s="16">
        <v>107540000</v>
      </c>
      <c r="G186" s="16">
        <f>F186*$G$1</f>
        <v>75278000</v>
      </c>
      <c r="H186" s="17"/>
    </row>
    <row r="187" spans="1:8" ht="24.95" customHeight="1" x14ac:dyDescent="0.4">
      <c r="A187" s="13">
        <v>77695</v>
      </c>
      <c r="B187" s="14">
        <v>46197</v>
      </c>
      <c r="C187" s="15" t="s">
        <v>325</v>
      </c>
      <c r="D187" s="15" t="s">
        <v>141</v>
      </c>
      <c r="E187" s="15" t="s">
        <v>10</v>
      </c>
      <c r="F187" s="16">
        <v>127810000</v>
      </c>
      <c r="G187" s="16">
        <f>F187*$G$1</f>
        <v>89467000</v>
      </c>
      <c r="H187" s="17"/>
    </row>
    <row r="188" spans="1:8" ht="24.95" customHeight="1" x14ac:dyDescent="0.4">
      <c r="A188" s="13">
        <v>77487</v>
      </c>
      <c r="B188" s="14">
        <v>46232</v>
      </c>
      <c r="C188" s="15" t="s">
        <v>274</v>
      </c>
      <c r="D188" s="15" t="s">
        <v>141</v>
      </c>
      <c r="E188" s="15" t="s">
        <v>10</v>
      </c>
      <c r="F188" s="16">
        <v>197800000</v>
      </c>
      <c r="G188" s="16">
        <f>F188*$G$1</f>
        <v>138460000</v>
      </c>
      <c r="H188" s="17"/>
    </row>
    <row r="189" spans="1:8" ht="24.95" customHeight="1" x14ac:dyDescent="0.4">
      <c r="A189" s="13">
        <v>77478</v>
      </c>
      <c r="B189" s="14">
        <v>46203</v>
      </c>
      <c r="C189" s="15" t="s">
        <v>270</v>
      </c>
      <c r="D189" s="15" t="s">
        <v>141</v>
      </c>
      <c r="E189" s="15" t="s">
        <v>14</v>
      </c>
      <c r="F189" s="16">
        <v>290522600</v>
      </c>
      <c r="G189" s="16">
        <f>F189*$G$1</f>
        <v>203365820</v>
      </c>
      <c r="H189" s="17"/>
    </row>
    <row r="190" spans="1:8" ht="24.95" customHeight="1" x14ac:dyDescent="0.4">
      <c r="A190" s="13">
        <v>76804</v>
      </c>
      <c r="B190" s="14">
        <v>46218</v>
      </c>
      <c r="C190" s="15" t="s">
        <v>156</v>
      </c>
      <c r="D190" s="15" t="s">
        <v>141</v>
      </c>
      <c r="E190" s="15" t="s">
        <v>9</v>
      </c>
      <c r="F190" s="16">
        <v>346519908</v>
      </c>
      <c r="G190" s="16">
        <f>F190*$G$1</f>
        <v>242563935.59999999</v>
      </c>
      <c r="H190" s="17"/>
    </row>
    <row r="191" spans="1:8" ht="24.95" customHeight="1" x14ac:dyDescent="0.4">
      <c r="A191" s="13">
        <v>76882</v>
      </c>
      <c r="B191" s="14">
        <v>46192</v>
      </c>
      <c r="C191" s="15" t="s">
        <v>159</v>
      </c>
      <c r="D191" s="15" t="s">
        <v>141</v>
      </c>
      <c r="E191" s="15" t="s">
        <v>14</v>
      </c>
      <c r="F191" s="16">
        <v>66333720</v>
      </c>
      <c r="G191" s="16">
        <f>F191*$G$1</f>
        <v>46433604</v>
      </c>
      <c r="H191" s="17"/>
    </row>
    <row r="192" spans="1:8" ht="24.95" customHeight="1" x14ac:dyDescent="0.4">
      <c r="A192" s="13">
        <v>77320</v>
      </c>
      <c r="B192" s="14">
        <v>46196</v>
      </c>
      <c r="C192" s="15" t="s">
        <v>159</v>
      </c>
      <c r="D192" s="15" t="s">
        <v>141</v>
      </c>
      <c r="E192" s="15" t="s">
        <v>238</v>
      </c>
      <c r="F192" s="16">
        <v>307300000</v>
      </c>
      <c r="G192" s="16">
        <f>F192*$G$1</f>
        <v>215110000</v>
      </c>
      <c r="H192" s="17"/>
    </row>
    <row r="193" spans="1:8" ht="24.95" customHeight="1" x14ac:dyDescent="0.4">
      <c r="A193" s="13">
        <v>77544</v>
      </c>
      <c r="B193" s="14">
        <v>46204</v>
      </c>
      <c r="C193" s="15" t="s">
        <v>290</v>
      </c>
      <c r="D193" s="15" t="s">
        <v>46</v>
      </c>
      <c r="E193" s="15" t="s">
        <v>10</v>
      </c>
      <c r="F193" s="16">
        <v>40833332</v>
      </c>
      <c r="G193" s="16">
        <f>F193*$G$1</f>
        <v>28583332.399999999</v>
      </c>
      <c r="H193" s="17"/>
    </row>
    <row r="194" spans="1:8" ht="24.95" customHeight="1" x14ac:dyDescent="0.4">
      <c r="A194" s="13">
        <v>77062</v>
      </c>
      <c r="B194" s="14">
        <v>46197</v>
      </c>
      <c r="C194" s="15" t="s">
        <v>190</v>
      </c>
      <c r="D194" s="15" t="s">
        <v>46</v>
      </c>
      <c r="E194" s="15" t="s">
        <v>10</v>
      </c>
      <c r="F194" s="16">
        <v>46456000</v>
      </c>
      <c r="G194" s="16">
        <f>F194*$G$1</f>
        <v>32519199.999999996</v>
      </c>
      <c r="H194" s="17"/>
    </row>
    <row r="195" spans="1:8" ht="24.95" customHeight="1" x14ac:dyDescent="0.4">
      <c r="A195" s="13">
        <v>77367</v>
      </c>
      <c r="B195" s="14">
        <v>46196</v>
      </c>
      <c r="C195" s="15" t="s">
        <v>249</v>
      </c>
      <c r="D195" s="15" t="s">
        <v>46</v>
      </c>
      <c r="E195" s="15" t="s">
        <v>15</v>
      </c>
      <c r="F195" s="16">
        <v>147660000</v>
      </c>
      <c r="G195" s="16">
        <v>147660000</v>
      </c>
      <c r="H195" s="17"/>
    </row>
    <row r="196" spans="1:8" ht="24.95" customHeight="1" x14ac:dyDescent="0.4">
      <c r="A196" s="13">
        <v>77617</v>
      </c>
      <c r="B196" s="14">
        <v>46196</v>
      </c>
      <c r="C196" s="15" t="s">
        <v>85</v>
      </c>
      <c r="D196" s="15" t="s">
        <v>46</v>
      </c>
      <c r="E196" s="15" t="s">
        <v>8</v>
      </c>
      <c r="F196" s="16">
        <v>169744500</v>
      </c>
      <c r="G196" s="16">
        <f>F196*$G$1</f>
        <v>118821149.99999999</v>
      </c>
      <c r="H196" s="17"/>
    </row>
    <row r="197" spans="1:8" ht="24.95" customHeight="1" x14ac:dyDescent="0.4">
      <c r="A197" s="13">
        <v>77481</v>
      </c>
      <c r="B197" s="14">
        <v>46204</v>
      </c>
      <c r="C197" s="15" t="s">
        <v>85</v>
      </c>
      <c r="D197" s="15" t="s">
        <v>46</v>
      </c>
      <c r="E197" s="15" t="s">
        <v>271</v>
      </c>
      <c r="F197" s="16">
        <v>192151500</v>
      </c>
      <c r="G197" s="16">
        <f>F197*$G$1</f>
        <v>134506050</v>
      </c>
      <c r="H197" s="17"/>
    </row>
    <row r="198" spans="1:8" ht="24.95" customHeight="1" x14ac:dyDescent="0.4">
      <c r="A198" s="13">
        <v>76783</v>
      </c>
      <c r="B198" s="14">
        <v>46197</v>
      </c>
      <c r="C198" s="15" t="s">
        <v>85</v>
      </c>
      <c r="D198" s="15" t="s">
        <v>46</v>
      </c>
      <c r="E198" s="15" t="s">
        <v>14</v>
      </c>
      <c r="F198" s="16">
        <v>76318500</v>
      </c>
      <c r="G198" s="16">
        <f>F198*$G$1</f>
        <v>53422950</v>
      </c>
      <c r="H198" s="17"/>
    </row>
    <row r="199" spans="1:8" ht="24.95" customHeight="1" x14ac:dyDescent="0.4">
      <c r="A199" s="13">
        <v>77480</v>
      </c>
      <c r="B199" s="14">
        <v>46197</v>
      </c>
      <c r="C199" s="15" t="s">
        <v>85</v>
      </c>
      <c r="D199" s="15" t="s">
        <v>46</v>
      </c>
      <c r="E199" s="15" t="s">
        <v>14</v>
      </c>
      <c r="F199" s="16">
        <v>206544000</v>
      </c>
      <c r="G199" s="16">
        <f>F199*$G$1</f>
        <v>144580800</v>
      </c>
      <c r="H199" s="17"/>
    </row>
    <row r="200" spans="1:8" ht="24.95" customHeight="1" x14ac:dyDescent="0.4">
      <c r="A200" s="13">
        <v>77502</v>
      </c>
      <c r="B200" s="14">
        <v>46198</v>
      </c>
      <c r="C200" s="15" t="s">
        <v>85</v>
      </c>
      <c r="D200" s="15" t="s">
        <v>46</v>
      </c>
      <c r="E200" s="15" t="s">
        <v>14</v>
      </c>
      <c r="F200" s="16">
        <v>1990588000</v>
      </c>
      <c r="G200" s="16">
        <f>F200*$G$1</f>
        <v>1393411600</v>
      </c>
      <c r="H200" s="17"/>
    </row>
    <row r="201" spans="1:8" ht="24.95" customHeight="1" x14ac:dyDescent="0.4">
      <c r="A201" s="13">
        <v>77453</v>
      </c>
      <c r="B201" s="14">
        <v>46198</v>
      </c>
      <c r="C201" s="15" t="s">
        <v>264</v>
      </c>
      <c r="D201" s="15" t="s">
        <v>46</v>
      </c>
      <c r="E201" s="15" t="s">
        <v>37</v>
      </c>
      <c r="F201" s="16">
        <v>25138500</v>
      </c>
      <c r="G201" s="16">
        <f>F201*$G$1</f>
        <v>17596950</v>
      </c>
      <c r="H201" s="17"/>
    </row>
    <row r="202" spans="1:8" ht="24.95" customHeight="1" x14ac:dyDescent="0.4">
      <c r="A202" s="13">
        <v>77793</v>
      </c>
      <c r="B202" s="14">
        <v>46219</v>
      </c>
      <c r="C202" s="15" t="s">
        <v>364</v>
      </c>
      <c r="D202" s="15" t="s">
        <v>46</v>
      </c>
      <c r="E202" s="15" t="s">
        <v>14</v>
      </c>
      <c r="F202" s="16">
        <v>63906000</v>
      </c>
      <c r="G202" s="16">
        <v>63906000</v>
      </c>
      <c r="H202" s="17"/>
    </row>
    <row r="203" spans="1:8" ht="24.95" customHeight="1" x14ac:dyDescent="0.4">
      <c r="A203" s="13">
        <v>76969</v>
      </c>
      <c r="B203" s="14">
        <v>46191</v>
      </c>
      <c r="C203" s="15" t="s">
        <v>165</v>
      </c>
      <c r="D203" s="15" t="s">
        <v>47</v>
      </c>
      <c r="E203" s="15" t="s">
        <v>30</v>
      </c>
      <c r="F203" s="16">
        <v>30828572</v>
      </c>
      <c r="G203" s="16">
        <f>F203*$G$1</f>
        <v>21580000.399999999</v>
      </c>
      <c r="H203" s="17"/>
    </row>
    <row r="204" spans="1:8" ht="24.95" customHeight="1" x14ac:dyDescent="0.4">
      <c r="A204" s="13">
        <v>77265</v>
      </c>
      <c r="B204" s="14">
        <v>46191</v>
      </c>
      <c r="C204" s="15" t="s">
        <v>165</v>
      </c>
      <c r="D204" s="15" t="s">
        <v>47</v>
      </c>
      <c r="E204" s="15" t="s">
        <v>30</v>
      </c>
      <c r="F204" s="16">
        <v>44040818</v>
      </c>
      <c r="G204" s="16">
        <f>F204*$G$1</f>
        <v>30828572.599999998</v>
      </c>
      <c r="H204" s="17"/>
    </row>
    <row r="205" spans="1:8" ht="24.95" customHeight="1" x14ac:dyDescent="0.4">
      <c r="A205" s="13">
        <v>77420</v>
      </c>
      <c r="B205" s="14">
        <v>46269</v>
      </c>
      <c r="C205" s="15" t="s">
        <v>165</v>
      </c>
      <c r="D205" s="15" t="s">
        <v>47</v>
      </c>
      <c r="E205" s="15" t="s">
        <v>37</v>
      </c>
      <c r="F205" s="16">
        <v>207860000</v>
      </c>
      <c r="G205" s="16">
        <f>F205*$G$1</f>
        <v>145502000</v>
      </c>
      <c r="H205" s="17"/>
    </row>
    <row r="206" spans="1:8" ht="24.95" customHeight="1" x14ac:dyDescent="0.4">
      <c r="A206" s="13">
        <v>77842</v>
      </c>
      <c r="B206" s="14">
        <v>46211</v>
      </c>
      <c r="C206" s="15" t="s">
        <v>371</v>
      </c>
      <c r="D206" s="15" t="s">
        <v>47</v>
      </c>
      <c r="E206" s="15" t="s">
        <v>14</v>
      </c>
      <c r="F206" s="16">
        <v>71000000</v>
      </c>
      <c r="G206" s="16">
        <f>F206*$G$1</f>
        <v>49700000</v>
      </c>
      <c r="H206" s="17"/>
    </row>
    <row r="207" spans="1:8" ht="24.95" customHeight="1" x14ac:dyDescent="0.4">
      <c r="A207" s="13">
        <v>77691</v>
      </c>
      <c r="B207" s="14">
        <v>46230</v>
      </c>
      <c r="C207" s="15" t="s">
        <v>340</v>
      </c>
      <c r="D207" s="15" t="s">
        <v>47</v>
      </c>
      <c r="E207" s="15" t="s">
        <v>14</v>
      </c>
      <c r="F207" s="16">
        <v>31500000</v>
      </c>
      <c r="G207" s="16">
        <f>F207*$G$1</f>
        <v>22050000</v>
      </c>
      <c r="H207" s="17"/>
    </row>
    <row r="208" spans="1:8" ht="24.95" customHeight="1" x14ac:dyDescent="0.4">
      <c r="A208" s="13">
        <v>77601</v>
      </c>
      <c r="B208" s="14">
        <v>46197</v>
      </c>
      <c r="C208" s="15" t="s">
        <v>308</v>
      </c>
      <c r="D208" s="15" t="s">
        <v>47</v>
      </c>
      <c r="E208" s="15" t="s">
        <v>232</v>
      </c>
      <c r="F208" s="16">
        <v>7668000</v>
      </c>
      <c r="G208" s="16">
        <f>F208*$G$1</f>
        <v>5367600</v>
      </c>
      <c r="H208" s="17"/>
    </row>
    <row r="209" spans="1:8" ht="24.95" customHeight="1" x14ac:dyDescent="0.4">
      <c r="A209" s="13">
        <v>77143</v>
      </c>
      <c r="B209" s="14">
        <v>46218</v>
      </c>
      <c r="C209" s="15" t="s">
        <v>204</v>
      </c>
      <c r="D209" s="15" t="s">
        <v>47</v>
      </c>
      <c r="E209" s="15" t="s">
        <v>172</v>
      </c>
      <c r="F209" s="16">
        <v>74988000</v>
      </c>
      <c r="G209" s="16">
        <f>F209*$G$1</f>
        <v>52491600</v>
      </c>
      <c r="H209" s="17"/>
    </row>
    <row r="210" spans="1:8" ht="24.95" customHeight="1" x14ac:dyDescent="0.4">
      <c r="A210" s="13">
        <v>76755</v>
      </c>
      <c r="B210" s="14">
        <v>46199</v>
      </c>
      <c r="C210" s="15" t="s">
        <v>149</v>
      </c>
      <c r="D210" s="15" t="s">
        <v>47</v>
      </c>
      <c r="E210" s="15" t="s">
        <v>14</v>
      </c>
      <c r="F210" s="16">
        <v>50300000</v>
      </c>
      <c r="G210" s="16">
        <f>F210*$G$1</f>
        <v>35210000</v>
      </c>
      <c r="H210" s="17"/>
    </row>
    <row r="211" spans="1:8" ht="24.95" customHeight="1" x14ac:dyDescent="0.4">
      <c r="A211" s="13">
        <v>77433</v>
      </c>
      <c r="B211" s="14">
        <v>46211</v>
      </c>
      <c r="C211" s="15" t="s">
        <v>256</v>
      </c>
      <c r="D211" s="15" t="s">
        <v>47</v>
      </c>
      <c r="E211" s="15" t="s">
        <v>14</v>
      </c>
      <c r="F211" s="16">
        <v>91764000</v>
      </c>
      <c r="G211" s="16">
        <f>F211*$G$1</f>
        <v>64234799.999999993</v>
      </c>
      <c r="H211" s="17"/>
    </row>
    <row r="212" spans="1:8" ht="24.95" customHeight="1" x14ac:dyDescent="0.4">
      <c r="A212" s="13">
        <v>76225</v>
      </c>
      <c r="B212" s="14">
        <v>46191</v>
      </c>
      <c r="C212" s="15" t="s">
        <v>122</v>
      </c>
      <c r="D212" s="15" t="s">
        <v>47</v>
      </c>
      <c r="E212" s="15" t="s">
        <v>14</v>
      </c>
      <c r="F212" s="16">
        <v>22152000</v>
      </c>
      <c r="G212" s="16">
        <f>F212*$G$1</f>
        <v>15506399.999999998</v>
      </c>
      <c r="H212" s="17"/>
    </row>
    <row r="213" spans="1:8" ht="24.95" customHeight="1" x14ac:dyDescent="0.4">
      <c r="A213" s="13">
        <v>77266</v>
      </c>
      <c r="B213" s="14">
        <v>46352</v>
      </c>
      <c r="C213" s="15" t="s">
        <v>205</v>
      </c>
      <c r="D213" s="15" t="s">
        <v>47</v>
      </c>
      <c r="E213" s="15" t="s">
        <v>15</v>
      </c>
      <c r="F213" s="16">
        <v>98071000</v>
      </c>
      <c r="G213" s="16">
        <f>F213*$G$1</f>
        <v>68649700</v>
      </c>
      <c r="H213" s="17"/>
    </row>
    <row r="214" spans="1:8" ht="24.95" customHeight="1" x14ac:dyDescent="0.4">
      <c r="A214" s="13">
        <v>76784</v>
      </c>
      <c r="B214" s="14">
        <v>46196</v>
      </c>
      <c r="C214" s="15" t="s">
        <v>41</v>
      </c>
      <c r="D214" s="15" t="s">
        <v>47</v>
      </c>
      <c r="E214" s="15" t="s">
        <v>14</v>
      </c>
      <c r="F214" s="16">
        <v>189500000</v>
      </c>
      <c r="G214" s="16">
        <f>F214*$G$1</f>
        <v>132649999.99999999</v>
      </c>
      <c r="H214" s="17"/>
    </row>
    <row r="215" spans="1:8" ht="24.95" customHeight="1" x14ac:dyDescent="0.4">
      <c r="A215" s="13">
        <v>76848</v>
      </c>
      <c r="B215" s="14">
        <v>46219</v>
      </c>
      <c r="C215" s="15" t="s">
        <v>41</v>
      </c>
      <c r="D215" s="15" t="s">
        <v>47</v>
      </c>
      <c r="E215" s="15" t="s">
        <v>14</v>
      </c>
      <c r="F215" s="16">
        <v>1430724769</v>
      </c>
      <c r="G215" s="16">
        <f>F215*$G$1</f>
        <v>1001507338.3</v>
      </c>
      <c r="H215" s="17"/>
    </row>
    <row r="216" spans="1:8" ht="24.95" customHeight="1" x14ac:dyDescent="0.4">
      <c r="A216" s="13">
        <v>76924</v>
      </c>
      <c r="B216" s="14">
        <v>46197</v>
      </c>
      <c r="C216" s="15" t="s">
        <v>41</v>
      </c>
      <c r="D216" s="15" t="s">
        <v>47</v>
      </c>
      <c r="E216" s="15" t="s">
        <v>14</v>
      </c>
      <c r="F216" s="16">
        <v>410500000</v>
      </c>
      <c r="G216" s="16">
        <f>F216*$G$1</f>
        <v>287350000</v>
      </c>
      <c r="H216" s="17"/>
    </row>
    <row r="217" spans="1:8" ht="24.95" customHeight="1" x14ac:dyDescent="0.4">
      <c r="A217" s="13">
        <v>77553</v>
      </c>
      <c r="B217" s="14">
        <v>46212</v>
      </c>
      <c r="C217" s="15" t="s">
        <v>292</v>
      </c>
      <c r="D217" s="15" t="s">
        <v>293</v>
      </c>
      <c r="E217" s="15" t="s">
        <v>14</v>
      </c>
      <c r="F217" s="16">
        <v>413112700</v>
      </c>
      <c r="G217" s="16">
        <f>F217*$G$1</f>
        <v>289178890</v>
      </c>
      <c r="H217" s="17"/>
    </row>
    <row r="218" spans="1:8" ht="24.95" customHeight="1" x14ac:dyDescent="0.4">
      <c r="A218" s="13">
        <v>77435</v>
      </c>
      <c r="B218" s="14">
        <v>46204</v>
      </c>
      <c r="C218" s="15" t="s">
        <v>259</v>
      </c>
      <c r="D218" s="15" t="s">
        <v>50</v>
      </c>
      <c r="E218" s="15" t="s">
        <v>14</v>
      </c>
      <c r="F218" s="16">
        <v>74879000</v>
      </c>
      <c r="G218" s="16">
        <f>F218*$G$1</f>
        <v>52415300</v>
      </c>
      <c r="H218" s="17"/>
    </row>
    <row r="219" spans="1:8" ht="24.95" customHeight="1" x14ac:dyDescent="0.4">
      <c r="A219" s="13">
        <v>77694</v>
      </c>
      <c r="B219" s="14">
        <v>46192</v>
      </c>
      <c r="C219" s="15" t="s">
        <v>342</v>
      </c>
      <c r="D219" s="15" t="s">
        <v>50</v>
      </c>
      <c r="E219" s="15" t="s">
        <v>14</v>
      </c>
      <c r="F219" s="16">
        <v>194524050</v>
      </c>
      <c r="G219" s="16">
        <f>F219*$G$1</f>
        <v>136166835</v>
      </c>
      <c r="H219" s="17"/>
    </row>
    <row r="220" spans="1:8" ht="24.95" customHeight="1" x14ac:dyDescent="0.4">
      <c r="A220" s="13">
        <v>76786</v>
      </c>
      <c r="B220" s="14">
        <v>46217</v>
      </c>
      <c r="C220" s="15" t="s">
        <v>100</v>
      </c>
      <c r="D220" s="15" t="s">
        <v>50</v>
      </c>
      <c r="E220" s="15" t="s">
        <v>8</v>
      </c>
      <c r="F220" s="16">
        <v>304400000</v>
      </c>
      <c r="G220" s="16">
        <f>F220*$G$1</f>
        <v>213080000</v>
      </c>
      <c r="H220" s="17"/>
    </row>
    <row r="221" spans="1:8" ht="24.95" customHeight="1" x14ac:dyDescent="0.4">
      <c r="A221" s="13">
        <v>77304</v>
      </c>
      <c r="B221" s="14">
        <v>46192</v>
      </c>
      <c r="C221" s="15" t="s">
        <v>100</v>
      </c>
      <c r="D221" s="15" t="s">
        <v>50</v>
      </c>
      <c r="E221" s="15" t="s">
        <v>9</v>
      </c>
      <c r="F221" s="16">
        <v>277891500</v>
      </c>
      <c r="G221" s="16">
        <f>F221*$G$1</f>
        <v>194524050</v>
      </c>
      <c r="H221" s="17"/>
    </row>
    <row r="222" spans="1:8" ht="24.95" customHeight="1" x14ac:dyDescent="0.4">
      <c r="A222" s="13">
        <v>77805</v>
      </c>
      <c r="B222" s="14">
        <v>46205</v>
      </c>
      <c r="C222" s="15" t="s">
        <v>260</v>
      </c>
      <c r="D222" s="15" t="s">
        <v>7</v>
      </c>
      <c r="E222" s="15" t="s">
        <v>15</v>
      </c>
      <c r="F222" s="16">
        <v>120674800</v>
      </c>
      <c r="G222" s="16">
        <f>F222*$G$1</f>
        <v>84472360</v>
      </c>
      <c r="H222" s="17"/>
    </row>
    <row r="223" spans="1:8" ht="24.95" customHeight="1" x14ac:dyDescent="0.4">
      <c r="A223" s="13">
        <v>77436</v>
      </c>
      <c r="B223" s="14">
        <v>46233</v>
      </c>
      <c r="C223" s="15" t="s">
        <v>260</v>
      </c>
      <c r="D223" s="15" t="s">
        <v>7</v>
      </c>
      <c r="E223" s="15" t="s">
        <v>14</v>
      </c>
      <c r="F223" s="16">
        <v>184285000</v>
      </c>
      <c r="G223" s="16">
        <f>F223*$G$1</f>
        <v>128999499.99999999</v>
      </c>
      <c r="H223" s="17"/>
    </row>
    <row r="224" spans="1:8" ht="24.95" customHeight="1" x14ac:dyDescent="0.4">
      <c r="A224" s="13">
        <v>77146</v>
      </c>
      <c r="B224" s="14">
        <v>46232</v>
      </c>
      <c r="C224" s="15" t="s">
        <v>206</v>
      </c>
      <c r="D224" s="15" t="s">
        <v>7</v>
      </c>
      <c r="E224" s="15" t="s">
        <v>14</v>
      </c>
      <c r="F224" s="16">
        <v>900000000</v>
      </c>
      <c r="G224" s="16">
        <f>F224*$G$1</f>
        <v>630000000</v>
      </c>
      <c r="H224" s="17"/>
    </row>
    <row r="225" spans="1:8" ht="24.95" customHeight="1" x14ac:dyDescent="0.4">
      <c r="A225" s="13">
        <v>76921</v>
      </c>
      <c r="B225" s="14">
        <v>46192</v>
      </c>
      <c r="C225" s="15" t="s">
        <v>162</v>
      </c>
      <c r="D225" s="15" t="s">
        <v>7</v>
      </c>
      <c r="E225" s="15" t="s">
        <v>10</v>
      </c>
      <c r="F225" s="16">
        <v>2450038300</v>
      </c>
      <c r="G225" s="16">
        <f>F225*$G$1</f>
        <v>1715026810</v>
      </c>
      <c r="H225" s="17"/>
    </row>
    <row r="226" spans="1:8" ht="24.95" customHeight="1" x14ac:dyDescent="0.4">
      <c r="A226" s="13">
        <v>77282</v>
      </c>
      <c r="B226" s="14">
        <v>46199</v>
      </c>
      <c r="C226" s="15" t="s">
        <v>229</v>
      </c>
      <c r="D226" s="15" t="s">
        <v>7</v>
      </c>
      <c r="E226" s="15" t="s">
        <v>14</v>
      </c>
      <c r="F226" s="16">
        <v>385161000</v>
      </c>
      <c r="G226" s="16">
        <f>F226*$G$1</f>
        <v>269612700</v>
      </c>
      <c r="H226" s="17"/>
    </row>
    <row r="227" spans="1:8" ht="24.95" customHeight="1" x14ac:dyDescent="0.4">
      <c r="A227" s="13">
        <v>77624</v>
      </c>
      <c r="B227" s="14">
        <v>46213</v>
      </c>
      <c r="C227" s="15" t="s">
        <v>229</v>
      </c>
      <c r="D227" s="15" t="s">
        <v>7</v>
      </c>
      <c r="E227" s="15" t="s">
        <v>9</v>
      </c>
      <c r="F227" s="16">
        <v>53593500</v>
      </c>
      <c r="G227" s="16">
        <f>F227*$G$1</f>
        <v>37515450</v>
      </c>
      <c r="H227" s="17"/>
    </row>
    <row r="228" spans="1:8" ht="24.95" customHeight="1" x14ac:dyDescent="0.4">
      <c r="A228" s="13">
        <v>76990</v>
      </c>
      <c r="B228" s="14">
        <v>46220</v>
      </c>
      <c r="C228" s="15" t="s">
        <v>171</v>
      </c>
      <c r="D228" s="15" t="s">
        <v>7</v>
      </c>
      <c r="E228" s="15" t="s">
        <v>14</v>
      </c>
      <c r="F228" s="16">
        <v>219600000</v>
      </c>
      <c r="G228" s="16">
        <f>F228*$G$1</f>
        <v>153720000</v>
      </c>
      <c r="H228" s="17"/>
    </row>
    <row r="229" spans="1:8" ht="24.95" customHeight="1" x14ac:dyDescent="0.4">
      <c r="A229" s="13">
        <v>77802</v>
      </c>
      <c r="B229" s="14">
        <v>46217</v>
      </c>
      <c r="C229" s="15" t="s">
        <v>6</v>
      </c>
      <c r="D229" s="15" t="s">
        <v>7</v>
      </c>
      <c r="E229" s="15" t="s">
        <v>366</v>
      </c>
      <c r="F229" s="16">
        <v>9870000</v>
      </c>
      <c r="G229" s="16">
        <f>F229*$G$1</f>
        <v>6909000</v>
      </c>
      <c r="H229" s="17" t="s">
        <v>11</v>
      </c>
    </row>
    <row r="230" spans="1:8" ht="24.95" customHeight="1" x14ac:dyDescent="0.4">
      <c r="A230" s="13">
        <v>77290</v>
      </c>
      <c r="B230" s="14">
        <v>46191</v>
      </c>
      <c r="C230" s="15" t="s">
        <v>6</v>
      </c>
      <c r="D230" s="15" t="s">
        <v>7</v>
      </c>
      <c r="E230" s="15" t="s">
        <v>232</v>
      </c>
      <c r="F230" s="16">
        <v>48852450</v>
      </c>
      <c r="G230" s="16">
        <f>F230*$G$1</f>
        <v>34196715</v>
      </c>
      <c r="H230" s="17"/>
    </row>
    <row r="231" spans="1:8" ht="24.95" customHeight="1" x14ac:dyDescent="0.4">
      <c r="A231" s="13">
        <v>77838</v>
      </c>
      <c r="B231" s="14">
        <v>46210</v>
      </c>
      <c r="C231" s="15" t="s">
        <v>6</v>
      </c>
      <c r="D231" s="15" t="s">
        <v>7</v>
      </c>
      <c r="E231" s="15" t="s">
        <v>232</v>
      </c>
      <c r="F231" s="16">
        <v>122580600</v>
      </c>
      <c r="G231" s="16">
        <f>F231*$G$1</f>
        <v>85806420</v>
      </c>
      <c r="H231" s="17"/>
    </row>
    <row r="232" spans="1:8" ht="24.95" customHeight="1" x14ac:dyDescent="0.4">
      <c r="A232" s="13">
        <v>77469</v>
      </c>
      <c r="B232" s="14">
        <v>46212</v>
      </c>
      <c r="C232" s="15" t="s">
        <v>6</v>
      </c>
      <c r="D232" s="15" t="s">
        <v>7</v>
      </c>
      <c r="E232" s="15" t="s">
        <v>269</v>
      </c>
      <c r="F232" s="16">
        <v>202360997.09999999</v>
      </c>
      <c r="G232" s="16">
        <v>141652697.97</v>
      </c>
      <c r="H232" s="17"/>
    </row>
    <row r="233" spans="1:8" ht="24.95" customHeight="1" x14ac:dyDescent="0.4">
      <c r="A233" s="13">
        <v>77543</v>
      </c>
      <c r="B233" s="14">
        <v>46198</v>
      </c>
      <c r="C233" s="15" t="s">
        <v>6</v>
      </c>
      <c r="D233" s="15" t="s">
        <v>7</v>
      </c>
      <c r="E233" s="15" t="s">
        <v>289</v>
      </c>
      <c r="F233" s="16">
        <v>93773700</v>
      </c>
      <c r="G233" s="16">
        <f>F233*$G$1</f>
        <v>65641589.999999993</v>
      </c>
      <c r="H233" s="17"/>
    </row>
    <row r="234" spans="1:8" ht="24.95" customHeight="1" x14ac:dyDescent="0.4">
      <c r="A234" s="13">
        <v>77767</v>
      </c>
      <c r="B234" s="14">
        <v>46199</v>
      </c>
      <c r="C234" s="15" t="s">
        <v>6</v>
      </c>
      <c r="D234" s="15" t="s">
        <v>7</v>
      </c>
      <c r="E234" s="15" t="s">
        <v>359</v>
      </c>
      <c r="F234" s="16">
        <v>615024000</v>
      </c>
      <c r="G234" s="16">
        <f>F234*$G$1</f>
        <v>430516800</v>
      </c>
      <c r="H234" s="17"/>
    </row>
    <row r="235" spans="1:8" ht="24.95" customHeight="1" x14ac:dyDescent="0.4">
      <c r="A235" s="13">
        <v>77840</v>
      </c>
      <c r="B235" s="14">
        <v>46231</v>
      </c>
      <c r="C235" s="15" t="s">
        <v>6</v>
      </c>
      <c r="D235" s="15" t="s">
        <v>7</v>
      </c>
      <c r="E235" s="15" t="s">
        <v>370</v>
      </c>
      <c r="F235" s="16">
        <v>74496750</v>
      </c>
      <c r="G235" s="16">
        <f>F235*$G$1</f>
        <v>52147725</v>
      </c>
      <c r="H235" s="17"/>
    </row>
    <row r="236" spans="1:8" ht="24.95" customHeight="1" x14ac:dyDescent="0.4">
      <c r="A236" s="13">
        <v>77022</v>
      </c>
      <c r="B236" s="14">
        <v>46191</v>
      </c>
      <c r="C236" s="15" t="s">
        <v>6</v>
      </c>
      <c r="D236" s="15" t="s">
        <v>7</v>
      </c>
      <c r="E236" s="15" t="s">
        <v>179</v>
      </c>
      <c r="F236" s="16">
        <v>174719700</v>
      </c>
      <c r="G236" s="16">
        <f>F236*$G$1</f>
        <v>122303789.99999999</v>
      </c>
      <c r="H236" s="17"/>
    </row>
    <row r="237" spans="1:8" ht="24.95" customHeight="1" x14ac:dyDescent="0.4">
      <c r="A237" s="13">
        <v>77578</v>
      </c>
      <c r="B237" s="14">
        <v>46198</v>
      </c>
      <c r="C237" s="15" t="s">
        <v>6</v>
      </c>
      <c r="D237" s="15" t="s">
        <v>7</v>
      </c>
      <c r="E237" s="15" t="s">
        <v>208</v>
      </c>
      <c r="F237" s="16">
        <v>26640750</v>
      </c>
      <c r="G237" s="16">
        <f>F237*$G$1</f>
        <v>18648525</v>
      </c>
      <c r="H237" s="17"/>
    </row>
    <row r="238" spans="1:8" ht="24.95" customHeight="1" x14ac:dyDescent="0.4">
      <c r="A238" s="13">
        <v>77757</v>
      </c>
      <c r="B238" s="14">
        <v>46209</v>
      </c>
      <c r="C238" s="15" t="s">
        <v>6</v>
      </c>
      <c r="D238" s="15" t="s">
        <v>7</v>
      </c>
      <c r="E238" s="15" t="s">
        <v>208</v>
      </c>
      <c r="F238" s="16">
        <v>28389750</v>
      </c>
      <c r="G238" s="16">
        <f>F238*$G$1</f>
        <v>19872825</v>
      </c>
      <c r="H238" s="17"/>
    </row>
    <row r="239" spans="1:8" ht="24.95" customHeight="1" x14ac:dyDescent="0.4">
      <c r="A239" s="13">
        <v>76961</v>
      </c>
      <c r="B239" s="14">
        <v>46191</v>
      </c>
      <c r="C239" s="15" t="s">
        <v>6</v>
      </c>
      <c r="D239" s="15" t="s">
        <v>7</v>
      </c>
      <c r="E239" s="15" t="s">
        <v>45</v>
      </c>
      <c r="F239" s="16">
        <v>689399250</v>
      </c>
      <c r="G239" s="16">
        <f>F239*$G$1</f>
        <v>482579474.99999994</v>
      </c>
      <c r="H239" s="17"/>
    </row>
    <row r="240" spans="1:8" ht="24.95" customHeight="1" x14ac:dyDescent="0.4">
      <c r="A240" s="13">
        <v>77374</v>
      </c>
      <c r="B240" s="14">
        <v>46219</v>
      </c>
      <c r="C240" s="15" t="s">
        <v>6</v>
      </c>
      <c r="D240" s="15" t="s">
        <v>7</v>
      </c>
      <c r="E240" s="15" t="s">
        <v>45</v>
      </c>
      <c r="F240" s="16">
        <v>894189450</v>
      </c>
      <c r="G240" s="16">
        <f>F240*$G$1</f>
        <v>625932615</v>
      </c>
      <c r="H240" s="17"/>
    </row>
    <row r="241" spans="1:8" ht="24.95" customHeight="1" x14ac:dyDescent="0.4">
      <c r="A241" s="13">
        <v>77588</v>
      </c>
      <c r="B241" s="14">
        <v>46199</v>
      </c>
      <c r="C241" s="15" t="s">
        <v>6</v>
      </c>
      <c r="D241" s="15" t="s">
        <v>7</v>
      </c>
      <c r="E241" s="15" t="s">
        <v>45</v>
      </c>
      <c r="F241" s="16">
        <v>192739500</v>
      </c>
      <c r="G241" s="16">
        <f>F241*$G$1</f>
        <v>134917650</v>
      </c>
      <c r="H241" s="17"/>
    </row>
    <row r="242" spans="1:8" ht="24.95" customHeight="1" x14ac:dyDescent="0.4">
      <c r="A242" s="13">
        <v>77596</v>
      </c>
      <c r="B242" s="14">
        <v>46197</v>
      </c>
      <c r="C242" s="15" t="s">
        <v>6</v>
      </c>
      <c r="D242" s="15" t="s">
        <v>7</v>
      </c>
      <c r="E242" s="15" t="s">
        <v>45</v>
      </c>
      <c r="F242" s="16">
        <v>297164250</v>
      </c>
      <c r="G242" s="16">
        <f>F242*$G$1</f>
        <v>208014975</v>
      </c>
      <c r="H242" s="17"/>
    </row>
    <row r="243" spans="1:8" ht="24.95" customHeight="1" x14ac:dyDescent="0.4">
      <c r="A243" s="13">
        <v>77597</v>
      </c>
      <c r="B243" s="14">
        <v>46197</v>
      </c>
      <c r="C243" s="15" t="s">
        <v>6</v>
      </c>
      <c r="D243" s="15" t="s">
        <v>7</v>
      </c>
      <c r="E243" s="15" t="s">
        <v>45</v>
      </c>
      <c r="F243" s="16">
        <v>17550000</v>
      </c>
      <c r="G243" s="16">
        <f>F243*$G$1</f>
        <v>12285000</v>
      </c>
      <c r="H243" s="17"/>
    </row>
    <row r="244" spans="1:8" ht="24.95" customHeight="1" x14ac:dyDescent="0.4">
      <c r="A244" s="13">
        <v>77721</v>
      </c>
      <c r="B244" s="14">
        <v>46203</v>
      </c>
      <c r="C244" s="15" t="s">
        <v>6</v>
      </c>
      <c r="D244" s="15" t="s">
        <v>7</v>
      </c>
      <c r="E244" s="15" t="s">
        <v>45</v>
      </c>
      <c r="F244" s="16">
        <v>67785750</v>
      </c>
      <c r="G244" s="16">
        <f>F244*$G$1</f>
        <v>47450025</v>
      </c>
      <c r="H244" s="17"/>
    </row>
    <row r="245" spans="1:8" ht="24.95" customHeight="1" x14ac:dyDescent="0.4">
      <c r="A245" s="13">
        <v>77756</v>
      </c>
      <c r="B245" s="14">
        <v>46209</v>
      </c>
      <c r="C245" s="15" t="s">
        <v>6</v>
      </c>
      <c r="D245" s="15" t="s">
        <v>7</v>
      </c>
      <c r="E245" s="15" t="s">
        <v>45</v>
      </c>
      <c r="F245" s="16">
        <v>286134750</v>
      </c>
      <c r="G245" s="16">
        <f>F245*$G$1</f>
        <v>200294325</v>
      </c>
      <c r="H245" s="17"/>
    </row>
    <row r="246" spans="1:8" ht="24.95" customHeight="1" x14ac:dyDescent="0.4">
      <c r="A246" s="13">
        <v>77839</v>
      </c>
      <c r="B246" s="14">
        <v>46212</v>
      </c>
      <c r="C246" s="15" t="s">
        <v>6</v>
      </c>
      <c r="D246" s="15" t="s">
        <v>7</v>
      </c>
      <c r="E246" s="15" t="s">
        <v>45</v>
      </c>
      <c r="F246" s="16">
        <v>67359000</v>
      </c>
      <c r="G246" s="16">
        <f>F246*$G$1</f>
        <v>47151300</v>
      </c>
      <c r="H246" s="17"/>
    </row>
    <row r="247" spans="1:8" ht="24.95" customHeight="1" x14ac:dyDescent="0.4">
      <c r="A247" s="13">
        <v>74738</v>
      </c>
      <c r="B247" s="14">
        <v>46196</v>
      </c>
      <c r="C247" s="15" t="s">
        <v>6</v>
      </c>
      <c r="D247" s="15" t="s">
        <v>7</v>
      </c>
      <c r="E247" s="15" t="s">
        <v>8</v>
      </c>
      <c r="F247" s="16">
        <v>1361054250</v>
      </c>
      <c r="G247" s="16">
        <f>F247*$G$1</f>
        <v>952737974.99999988</v>
      </c>
      <c r="H247" s="17"/>
    </row>
    <row r="248" spans="1:8" ht="24.95" customHeight="1" x14ac:dyDescent="0.4">
      <c r="A248" s="13">
        <v>76467</v>
      </c>
      <c r="B248" s="14">
        <v>46197</v>
      </c>
      <c r="C248" s="15" t="s">
        <v>6</v>
      </c>
      <c r="D248" s="15" t="s">
        <v>7</v>
      </c>
      <c r="E248" s="15" t="s">
        <v>8</v>
      </c>
      <c r="F248" s="16">
        <v>422346000</v>
      </c>
      <c r="G248" s="16">
        <f>F248*$G$1</f>
        <v>295642200</v>
      </c>
      <c r="H248" s="17"/>
    </row>
    <row r="249" spans="1:8" ht="24.95" customHeight="1" x14ac:dyDescent="0.4">
      <c r="A249" s="13">
        <v>77183</v>
      </c>
      <c r="B249" s="14">
        <v>46191</v>
      </c>
      <c r="C249" s="15" t="s">
        <v>6</v>
      </c>
      <c r="D249" s="15" t="s">
        <v>7</v>
      </c>
      <c r="E249" s="15" t="s">
        <v>8</v>
      </c>
      <c r="F249" s="16">
        <v>450000000</v>
      </c>
      <c r="G249" s="16">
        <f>F249*$G$1</f>
        <v>315000000</v>
      </c>
      <c r="H249" s="17"/>
    </row>
    <row r="250" spans="1:8" ht="24.95" customHeight="1" x14ac:dyDescent="0.4">
      <c r="A250" s="13">
        <v>77294</v>
      </c>
      <c r="B250" s="14">
        <v>46196</v>
      </c>
      <c r="C250" s="15" t="s">
        <v>6</v>
      </c>
      <c r="D250" s="15" t="s">
        <v>7</v>
      </c>
      <c r="E250" s="15" t="s">
        <v>8</v>
      </c>
      <c r="F250" s="16">
        <v>273084488</v>
      </c>
      <c r="G250" s="16">
        <f>F250*$G$1</f>
        <v>191159141.59999999</v>
      </c>
      <c r="H250" s="17"/>
    </row>
    <row r="251" spans="1:8" ht="24.95" customHeight="1" x14ac:dyDescent="0.4">
      <c r="A251" s="13">
        <v>77307</v>
      </c>
      <c r="B251" s="14">
        <v>46196</v>
      </c>
      <c r="C251" s="15" t="s">
        <v>6</v>
      </c>
      <c r="D251" s="15" t="s">
        <v>7</v>
      </c>
      <c r="E251" s="15" t="s">
        <v>8</v>
      </c>
      <c r="F251" s="16">
        <v>87796500</v>
      </c>
      <c r="G251" s="16">
        <f>F251*$G$1</f>
        <v>61457549.999999993</v>
      </c>
      <c r="H251" s="17"/>
    </row>
    <row r="252" spans="1:8" ht="24.95" customHeight="1" x14ac:dyDescent="0.4">
      <c r="A252" s="13">
        <v>77311</v>
      </c>
      <c r="B252" s="14">
        <v>46210</v>
      </c>
      <c r="C252" s="15" t="s">
        <v>6</v>
      </c>
      <c r="D252" s="15" t="s">
        <v>7</v>
      </c>
      <c r="E252" s="15" t="s">
        <v>8</v>
      </c>
      <c r="F252" s="16">
        <v>741771000</v>
      </c>
      <c r="G252" s="16">
        <f>F252*$G$1</f>
        <v>519239699.99999994</v>
      </c>
      <c r="H252" s="17"/>
    </row>
    <row r="253" spans="1:8" ht="24.95" customHeight="1" x14ac:dyDescent="0.4">
      <c r="A253" s="13">
        <v>77312</v>
      </c>
      <c r="B253" s="14">
        <v>46191</v>
      </c>
      <c r="C253" s="15" t="s">
        <v>6</v>
      </c>
      <c r="D253" s="15" t="s">
        <v>7</v>
      </c>
      <c r="E253" s="15" t="s">
        <v>8</v>
      </c>
      <c r="F253" s="16">
        <v>128562000</v>
      </c>
      <c r="G253" s="16">
        <f>F253*$G$1</f>
        <v>89993400</v>
      </c>
      <c r="H253" s="17"/>
    </row>
    <row r="254" spans="1:8" ht="24.95" customHeight="1" x14ac:dyDescent="0.4">
      <c r="A254" s="13">
        <v>77357</v>
      </c>
      <c r="B254" s="14">
        <v>46197</v>
      </c>
      <c r="C254" s="15" t="s">
        <v>6</v>
      </c>
      <c r="D254" s="15" t="s">
        <v>7</v>
      </c>
      <c r="E254" s="15" t="s">
        <v>8</v>
      </c>
      <c r="F254" s="16">
        <v>476809200</v>
      </c>
      <c r="G254" s="16">
        <f>F254*$G$1</f>
        <v>333766440</v>
      </c>
      <c r="H254" s="17"/>
    </row>
    <row r="255" spans="1:8" ht="24.95" customHeight="1" x14ac:dyDescent="0.4">
      <c r="A255" s="13">
        <v>77384</v>
      </c>
      <c r="B255" s="14">
        <v>46192</v>
      </c>
      <c r="C255" s="15" t="s">
        <v>6</v>
      </c>
      <c r="D255" s="15" t="s">
        <v>7</v>
      </c>
      <c r="E255" s="15" t="s">
        <v>8</v>
      </c>
      <c r="F255" s="16">
        <v>379489500</v>
      </c>
      <c r="G255" s="16">
        <f>F255*$G$1</f>
        <v>265642649.99999997</v>
      </c>
      <c r="H255" s="17"/>
    </row>
    <row r="256" spans="1:8" ht="24.95" customHeight="1" x14ac:dyDescent="0.4">
      <c r="A256" s="13">
        <v>77458</v>
      </c>
      <c r="B256" s="14">
        <v>46196</v>
      </c>
      <c r="C256" s="15" t="s">
        <v>6</v>
      </c>
      <c r="D256" s="15" t="s">
        <v>7</v>
      </c>
      <c r="E256" s="15" t="s">
        <v>8</v>
      </c>
      <c r="F256" s="16">
        <v>952737975</v>
      </c>
      <c r="G256" s="16">
        <f>F256*$G$1</f>
        <v>666916582.5</v>
      </c>
      <c r="H256" s="17"/>
    </row>
    <row r="257" spans="1:8" ht="24.95" customHeight="1" x14ac:dyDescent="0.4">
      <c r="A257" s="13">
        <v>77463</v>
      </c>
      <c r="B257" s="14">
        <v>46199</v>
      </c>
      <c r="C257" s="15" t="s">
        <v>6</v>
      </c>
      <c r="D257" s="15" t="s">
        <v>7</v>
      </c>
      <c r="E257" s="15" t="s">
        <v>8</v>
      </c>
      <c r="F257" s="16">
        <v>427083000</v>
      </c>
      <c r="G257" s="16">
        <f>F257*$G$1</f>
        <v>298958100</v>
      </c>
      <c r="H257" s="17"/>
    </row>
    <row r="258" spans="1:8" ht="24.95" customHeight="1" x14ac:dyDescent="0.4">
      <c r="A258" s="13">
        <v>77475</v>
      </c>
      <c r="B258" s="14">
        <v>46203</v>
      </c>
      <c r="C258" s="15" t="s">
        <v>6</v>
      </c>
      <c r="D258" s="15" t="s">
        <v>7</v>
      </c>
      <c r="E258" s="15" t="s">
        <v>8</v>
      </c>
      <c r="F258" s="16">
        <v>162276000</v>
      </c>
      <c r="G258" s="16">
        <f>F258*$G$1</f>
        <v>113593200</v>
      </c>
      <c r="H258" s="17"/>
    </row>
    <row r="259" spans="1:8" ht="24.95" customHeight="1" x14ac:dyDescent="0.4">
      <c r="A259" s="13">
        <v>77476</v>
      </c>
      <c r="B259" s="14">
        <v>46203</v>
      </c>
      <c r="C259" s="15" t="s">
        <v>6</v>
      </c>
      <c r="D259" s="15" t="s">
        <v>7</v>
      </c>
      <c r="E259" s="15" t="s">
        <v>8</v>
      </c>
      <c r="F259" s="16">
        <v>712641000</v>
      </c>
      <c r="G259" s="16">
        <f>F259*$G$1</f>
        <v>498848699.99999994</v>
      </c>
      <c r="H259" s="17"/>
    </row>
    <row r="260" spans="1:8" ht="24.95" customHeight="1" x14ac:dyDescent="0.4">
      <c r="A260" s="13">
        <v>77489</v>
      </c>
      <c r="B260" s="14">
        <v>46210</v>
      </c>
      <c r="C260" s="15" t="s">
        <v>6</v>
      </c>
      <c r="D260" s="15" t="s">
        <v>7</v>
      </c>
      <c r="E260" s="15" t="s">
        <v>8</v>
      </c>
      <c r="F260" s="16">
        <v>591142500</v>
      </c>
      <c r="G260" s="16">
        <f>F260*$G$1</f>
        <v>413799750</v>
      </c>
      <c r="H260" s="17"/>
    </row>
    <row r="261" spans="1:8" ht="24.95" customHeight="1" x14ac:dyDescent="0.4">
      <c r="A261" s="13">
        <v>77497</v>
      </c>
      <c r="B261" s="14">
        <v>46203</v>
      </c>
      <c r="C261" s="15" t="s">
        <v>6</v>
      </c>
      <c r="D261" s="15" t="s">
        <v>7</v>
      </c>
      <c r="E261" s="15" t="s">
        <v>8</v>
      </c>
      <c r="F261" s="16">
        <v>320262000</v>
      </c>
      <c r="G261" s="16">
        <f>F261*$G$1</f>
        <v>224183400</v>
      </c>
      <c r="H261" s="17"/>
    </row>
    <row r="262" spans="1:8" ht="24.95" customHeight="1" x14ac:dyDescent="0.4">
      <c r="A262" s="13">
        <v>77498</v>
      </c>
      <c r="B262" s="14">
        <v>46203</v>
      </c>
      <c r="C262" s="15" t="s">
        <v>6</v>
      </c>
      <c r="D262" s="15" t="s">
        <v>7</v>
      </c>
      <c r="E262" s="15" t="s">
        <v>8</v>
      </c>
      <c r="F262" s="16">
        <v>152475000</v>
      </c>
      <c r="G262" s="16">
        <f>F262*$G$1</f>
        <v>106732500</v>
      </c>
      <c r="H262" s="17"/>
    </row>
    <row r="263" spans="1:8" ht="24.95" customHeight="1" x14ac:dyDescent="0.4">
      <c r="A263" s="13">
        <v>77505</v>
      </c>
      <c r="B263" s="14">
        <v>46203</v>
      </c>
      <c r="C263" s="15" t="s">
        <v>6</v>
      </c>
      <c r="D263" s="15" t="s">
        <v>7</v>
      </c>
      <c r="E263" s="15" t="s">
        <v>8</v>
      </c>
      <c r="F263" s="16">
        <v>113080500</v>
      </c>
      <c r="G263" s="16">
        <f>F263*$G$1</f>
        <v>79156350</v>
      </c>
      <c r="H263" s="17"/>
    </row>
    <row r="264" spans="1:8" ht="24.95" customHeight="1" x14ac:dyDescent="0.4">
      <c r="A264" s="13">
        <v>77541</v>
      </c>
      <c r="B264" s="14">
        <v>46198</v>
      </c>
      <c r="C264" s="15" t="s">
        <v>6</v>
      </c>
      <c r="D264" s="15" t="s">
        <v>7</v>
      </c>
      <c r="E264" s="15" t="s">
        <v>8</v>
      </c>
      <c r="F264" s="16">
        <v>337084500</v>
      </c>
      <c r="G264" s="16">
        <f>F264*$G$1</f>
        <v>235959149.99999997</v>
      </c>
      <c r="H264" s="17"/>
    </row>
    <row r="265" spans="1:8" ht="24.95" customHeight="1" x14ac:dyDescent="0.4">
      <c r="A265" s="13">
        <v>77550</v>
      </c>
      <c r="B265" s="14">
        <v>46226</v>
      </c>
      <c r="C265" s="15" t="s">
        <v>6</v>
      </c>
      <c r="D265" s="15" t="s">
        <v>7</v>
      </c>
      <c r="E265" s="15" t="s">
        <v>8</v>
      </c>
      <c r="F265" s="16">
        <v>2055503045</v>
      </c>
      <c r="G265" s="16">
        <f>F265*$G$1</f>
        <v>1438852131.5</v>
      </c>
      <c r="H265" s="17"/>
    </row>
    <row r="266" spans="1:8" ht="24.95" customHeight="1" x14ac:dyDescent="0.4">
      <c r="A266" s="13">
        <v>77559</v>
      </c>
      <c r="B266" s="14">
        <v>46196</v>
      </c>
      <c r="C266" s="15" t="s">
        <v>6</v>
      </c>
      <c r="D266" s="15" t="s">
        <v>7</v>
      </c>
      <c r="E266" s="15" t="s">
        <v>8</v>
      </c>
      <c r="F266" s="16">
        <v>417469500</v>
      </c>
      <c r="G266" s="16">
        <f>F266*$G$1</f>
        <v>292228650</v>
      </c>
      <c r="H266" s="17"/>
    </row>
    <row r="267" spans="1:8" ht="24.95" customHeight="1" x14ac:dyDescent="0.4">
      <c r="A267" s="13">
        <v>77582</v>
      </c>
      <c r="B267" s="14">
        <v>46196</v>
      </c>
      <c r="C267" s="15" t="s">
        <v>6</v>
      </c>
      <c r="D267" s="15" t="s">
        <v>7</v>
      </c>
      <c r="E267" s="15" t="s">
        <v>8</v>
      </c>
      <c r="F267" s="16">
        <v>307426080</v>
      </c>
      <c r="G267" s="16">
        <v>307426080</v>
      </c>
      <c r="H267" s="17"/>
    </row>
    <row r="268" spans="1:8" ht="24.95" customHeight="1" x14ac:dyDescent="0.4">
      <c r="A268" s="13">
        <v>77726</v>
      </c>
      <c r="B268" s="14">
        <v>46210</v>
      </c>
      <c r="C268" s="15" t="s">
        <v>6</v>
      </c>
      <c r="D268" s="15" t="s">
        <v>7</v>
      </c>
      <c r="E268" s="15" t="s">
        <v>8</v>
      </c>
      <c r="F268" s="16">
        <v>1204602000</v>
      </c>
      <c r="G268" s="16">
        <f>F268*$G$1</f>
        <v>843221400</v>
      </c>
      <c r="H268" s="17"/>
    </row>
    <row r="269" spans="1:8" ht="24.95" customHeight="1" x14ac:dyDescent="0.4">
      <c r="A269" s="13">
        <v>77729</v>
      </c>
      <c r="B269" s="14">
        <v>46205</v>
      </c>
      <c r="C269" s="15" t="s">
        <v>6</v>
      </c>
      <c r="D269" s="15" t="s">
        <v>7</v>
      </c>
      <c r="E269" s="15" t="s">
        <v>8</v>
      </c>
      <c r="F269" s="16">
        <v>344100000</v>
      </c>
      <c r="G269" s="16">
        <f>F269*$G$1</f>
        <v>240869999.99999997</v>
      </c>
      <c r="H269" s="17"/>
    </row>
    <row r="270" spans="1:8" ht="24.95" customHeight="1" x14ac:dyDescent="0.4">
      <c r="A270" s="13">
        <v>77736</v>
      </c>
      <c r="B270" s="14">
        <v>46209</v>
      </c>
      <c r="C270" s="15" t="s">
        <v>6</v>
      </c>
      <c r="D270" s="15" t="s">
        <v>7</v>
      </c>
      <c r="E270" s="15" t="s">
        <v>8</v>
      </c>
      <c r="F270" s="16">
        <v>360167000</v>
      </c>
      <c r="G270" s="16">
        <v>360167000</v>
      </c>
      <c r="H270" s="17"/>
    </row>
    <row r="271" spans="1:8" ht="24.95" customHeight="1" x14ac:dyDescent="0.4">
      <c r="A271" s="13">
        <v>77741</v>
      </c>
      <c r="B271" s="14">
        <v>46204</v>
      </c>
      <c r="C271" s="15" t="s">
        <v>6</v>
      </c>
      <c r="D271" s="15" t="s">
        <v>7</v>
      </c>
      <c r="E271" s="15" t="s">
        <v>8</v>
      </c>
      <c r="F271" s="16">
        <v>127620000</v>
      </c>
      <c r="G271" s="16">
        <f>F271*$G$1</f>
        <v>89334000</v>
      </c>
      <c r="H271" s="17"/>
    </row>
    <row r="272" spans="1:8" ht="24.95" customHeight="1" x14ac:dyDescent="0.4">
      <c r="A272" s="13">
        <v>77751</v>
      </c>
      <c r="B272" s="14">
        <v>46211</v>
      </c>
      <c r="C272" s="15" t="s">
        <v>6</v>
      </c>
      <c r="D272" s="15" t="s">
        <v>7</v>
      </c>
      <c r="E272" s="15" t="s">
        <v>8</v>
      </c>
      <c r="F272" s="16">
        <v>499018500</v>
      </c>
      <c r="G272" s="16">
        <f>F272*$G$1</f>
        <v>349312950</v>
      </c>
      <c r="H272" s="17"/>
    </row>
    <row r="273" spans="1:8" ht="24.95" customHeight="1" x14ac:dyDescent="0.4">
      <c r="A273" s="13">
        <v>77827</v>
      </c>
      <c r="B273" s="14">
        <v>46213</v>
      </c>
      <c r="C273" s="15" t="s">
        <v>6</v>
      </c>
      <c r="D273" s="15" t="s">
        <v>7</v>
      </c>
      <c r="E273" s="15" t="s">
        <v>8</v>
      </c>
      <c r="F273" s="16">
        <v>1431678117</v>
      </c>
      <c r="G273" s="16">
        <f>F273*$G$1</f>
        <v>1002174681.9</v>
      </c>
      <c r="H273" s="17"/>
    </row>
    <row r="274" spans="1:8" ht="24.95" customHeight="1" x14ac:dyDescent="0.4">
      <c r="A274" s="13">
        <v>76315</v>
      </c>
      <c r="B274" s="14">
        <v>46205</v>
      </c>
      <c r="C274" s="15" t="s">
        <v>6</v>
      </c>
      <c r="D274" s="15" t="s">
        <v>7</v>
      </c>
      <c r="E274" s="15" t="s">
        <v>123</v>
      </c>
      <c r="F274" s="16">
        <v>1605721500</v>
      </c>
      <c r="G274" s="16">
        <f>F274*$G$1</f>
        <v>1124005050</v>
      </c>
      <c r="H274" s="17"/>
    </row>
    <row r="275" spans="1:8" ht="24.95" customHeight="1" x14ac:dyDescent="0.4">
      <c r="A275" s="13">
        <v>76316</v>
      </c>
      <c r="B275" s="14">
        <v>46205</v>
      </c>
      <c r="C275" s="15" t="s">
        <v>6</v>
      </c>
      <c r="D275" s="15" t="s">
        <v>7</v>
      </c>
      <c r="E275" s="15" t="s">
        <v>124</v>
      </c>
      <c r="F275" s="16">
        <v>901969500</v>
      </c>
      <c r="G275" s="16">
        <f>F275*$G$1</f>
        <v>631378650</v>
      </c>
      <c r="H275" s="17"/>
    </row>
    <row r="276" spans="1:8" ht="24.95" customHeight="1" x14ac:dyDescent="0.4">
      <c r="A276" s="13">
        <v>77358</v>
      </c>
      <c r="B276" s="14">
        <v>46197</v>
      </c>
      <c r="C276" s="15" t="s">
        <v>6</v>
      </c>
      <c r="D276" s="15" t="s">
        <v>7</v>
      </c>
      <c r="E276" s="15" t="s">
        <v>244</v>
      </c>
      <c r="F276" s="16">
        <v>833444399.12</v>
      </c>
      <c r="G276" s="16">
        <v>583411079.38</v>
      </c>
      <c r="H276" s="17"/>
    </row>
    <row r="277" spans="1:8" ht="24.95" customHeight="1" x14ac:dyDescent="0.4">
      <c r="A277" s="13">
        <v>77361</v>
      </c>
      <c r="B277" s="14">
        <v>46191</v>
      </c>
      <c r="C277" s="15" t="s">
        <v>6</v>
      </c>
      <c r="D277" s="15" t="s">
        <v>7</v>
      </c>
      <c r="E277" s="15" t="s">
        <v>61</v>
      </c>
      <c r="F277" s="16">
        <v>291061500</v>
      </c>
      <c r="G277" s="16">
        <f>F277*$G$1</f>
        <v>203743050</v>
      </c>
      <c r="H277" s="17"/>
    </row>
    <row r="278" spans="1:8" ht="24.95" customHeight="1" x14ac:dyDescent="0.4">
      <c r="A278" s="13">
        <v>77703</v>
      </c>
      <c r="B278" s="14">
        <v>46209</v>
      </c>
      <c r="C278" s="15" t="s">
        <v>6</v>
      </c>
      <c r="D278" s="15" t="s">
        <v>7</v>
      </c>
      <c r="E278" s="15" t="s">
        <v>61</v>
      </c>
      <c r="F278" s="16">
        <v>417684000</v>
      </c>
      <c r="G278" s="16">
        <f>F278*$G$1</f>
        <v>292378800</v>
      </c>
      <c r="H278" s="17"/>
    </row>
    <row r="279" spans="1:8" ht="24.95" customHeight="1" x14ac:dyDescent="0.4">
      <c r="A279" s="13">
        <v>77042</v>
      </c>
      <c r="B279" s="14">
        <v>46219</v>
      </c>
      <c r="C279" s="15" t="s">
        <v>6</v>
      </c>
      <c r="D279" s="15" t="s">
        <v>7</v>
      </c>
      <c r="E279" s="15" t="s">
        <v>183</v>
      </c>
      <c r="F279" s="16">
        <v>2492640300</v>
      </c>
      <c r="G279" s="16">
        <f>F279*$G$1</f>
        <v>1744848210</v>
      </c>
      <c r="H279" s="17"/>
    </row>
    <row r="280" spans="1:8" ht="24.95" customHeight="1" x14ac:dyDescent="0.4">
      <c r="A280" s="13">
        <v>76466</v>
      </c>
      <c r="B280" s="14">
        <v>46197</v>
      </c>
      <c r="C280" s="15" t="s">
        <v>6</v>
      </c>
      <c r="D280" s="15" t="s">
        <v>7</v>
      </c>
      <c r="E280" s="15" t="s">
        <v>119</v>
      </c>
      <c r="F280" s="16">
        <v>515070000</v>
      </c>
      <c r="G280" s="16">
        <f>F280*$G$1</f>
        <v>360549000</v>
      </c>
      <c r="H280" s="17"/>
    </row>
    <row r="281" spans="1:8" ht="24.95" customHeight="1" x14ac:dyDescent="0.4">
      <c r="A281" s="13">
        <v>77546</v>
      </c>
      <c r="B281" s="14">
        <v>46203</v>
      </c>
      <c r="C281" s="15" t="s">
        <v>6</v>
      </c>
      <c r="D281" s="15" t="s">
        <v>7</v>
      </c>
      <c r="E281" s="15" t="s">
        <v>271</v>
      </c>
      <c r="F281" s="16">
        <v>472234500</v>
      </c>
      <c r="G281" s="16">
        <f>F281*$G$1</f>
        <v>330564150</v>
      </c>
      <c r="H281" s="17"/>
    </row>
    <row r="282" spans="1:8" ht="24.95" customHeight="1" x14ac:dyDescent="0.4">
      <c r="A282" s="13">
        <v>74406</v>
      </c>
      <c r="B282" s="14">
        <v>46268</v>
      </c>
      <c r="C282" s="15" t="s">
        <v>6</v>
      </c>
      <c r="D282" s="15" t="s">
        <v>7</v>
      </c>
      <c r="E282" s="15" t="s">
        <v>15</v>
      </c>
      <c r="F282" s="16">
        <v>563972192</v>
      </c>
      <c r="G282" s="16">
        <v>563972192</v>
      </c>
      <c r="H282" s="17"/>
    </row>
    <row r="283" spans="1:8" ht="24.95" customHeight="1" x14ac:dyDescent="0.4">
      <c r="A283" s="13">
        <v>76020</v>
      </c>
      <c r="B283" s="14">
        <v>46206</v>
      </c>
      <c r="C283" s="15" t="s">
        <v>6</v>
      </c>
      <c r="D283" s="15" t="s">
        <v>7</v>
      </c>
      <c r="E283" s="15" t="s">
        <v>15</v>
      </c>
      <c r="F283" s="16">
        <v>343832790</v>
      </c>
      <c r="G283" s="16">
        <f>F283*$G$1</f>
        <v>240682952.99999997</v>
      </c>
      <c r="H283" s="17"/>
    </row>
    <row r="284" spans="1:8" ht="24.95" customHeight="1" x14ac:dyDescent="0.4">
      <c r="A284" s="13">
        <v>77306</v>
      </c>
      <c r="B284" s="14">
        <v>46197</v>
      </c>
      <c r="C284" s="15" t="s">
        <v>6</v>
      </c>
      <c r="D284" s="15" t="s">
        <v>7</v>
      </c>
      <c r="E284" s="15" t="s">
        <v>15</v>
      </c>
      <c r="F284" s="16">
        <v>233000000</v>
      </c>
      <c r="G284" s="16">
        <f>F284*$G$1</f>
        <v>163100000</v>
      </c>
      <c r="H284" s="17"/>
    </row>
    <row r="285" spans="1:8" ht="24.95" customHeight="1" x14ac:dyDescent="0.4">
      <c r="A285" s="13">
        <v>77457</v>
      </c>
      <c r="B285" s="14">
        <v>46213</v>
      </c>
      <c r="C285" s="15" t="s">
        <v>6</v>
      </c>
      <c r="D285" s="15" t="s">
        <v>7</v>
      </c>
      <c r="E285" s="15" t="s">
        <v>15</v>
      </c>
      <c r="F285" s="16">
        <v>1150682951</v>
      </c>
      <c r="G285" s="16">
        <f>F285*$G$1</f>
        <v>805478065.69999993</v>
      </c>
      <c r="H285" s="17"/>
    </row>
    <row r="286" spans="1:8" ht="24.95" customHeight="1" x14ac:dyDescent="0.4">
      <c r="A286" s="13">
        <v>77477</v>
      </c>
      <c r="B286" s="14">
        <v>46203</v>
      </c>
      <c r="C286" s="15" t="s">
        <v>6</v>
      </c>
      <c r="D286" s="15" t="s">
        <v>7</v>
      </c>
      <c r="E286" s="15" t="s">
        <v>15</v>
      </c>
      <c r="F286" s="16">
        <v>101545500</v>
      </c>
      <c r="G286" s="16">
        <f>F286*$G$1</f>
        <v>71081850</v>
      </c>
      <c r="H286" s="17"/>
    </row>
    <row r="287" spans="1:8" ht="24.95" customHeight="1" x14ac:dyDescent="0.4">
      <c r="A287" s="13">
        <v>77743</v>
      </c>
      <c r="B287" s="14">
        <v>46230</v>
      </c>
      <c r="C287" s="15" t="s">
        <v>6</v>
      </c>
      <c r="D287" s="15" t="s">
        <v>7</v>
      </c>
      <c r="E287" s="15" t="s">
        <v>15</v>
      </c>
      <c r="F287" s="16">
        <v>497581500</v>
      </c>
      <c r="G287" s="16">
        <v>497581500</v>
      </c>
      <c r="H287" s="17"/>
    </row>
    <row r="288" spans="1:8" ht="24.95" customHeight="1" x14ac:dyDescent="0.4">
      <c r="A288" s="13">
        <v>76872</v>
      </c>
      <c r="B288" s="14">
        <v>46273</v>
      </c>
      <c r="C288" s="15" t="s">
        <v>6</v>
      </c>
      <c r="D288" s="15" t="s">
        <v>7</v>
      </c>
      <c r="E288" s="15" t="s">
        <v>59</v>
      </c>
      <c r="F288" s="16">
        <v>432710000</v>
      </c>
      <c r="G288" s="16">
        <f>F288*$G$1</f>
        <v>302897000</v>
      </c>
      <c r="H288" s="17"/>
    </row>
    <row r="289" spans="1:8" ht="24.95" customHeight="1" x14ac:dyDescent="0.4">
      <c r="A289" s="13">
        <v>77812</v>
      </c>
      <c r="B289" s="14">
        <v>46211</v>
      </c>
      <c r="C289" s="15" t="s">
        <v>6</v>
      </c>
      <c r="D289" s="15" t="s">
        <v>7</v>
      </c>
      <c r="E289" s="15" t="s">
        <v>368</v>
      </c>
      <c r="F289" s="16">
        <v>5280000</v>
      </c>
      <c r="G289" s="16">
        <f>F289*$G$1</f>
        <v>3695999.9999999995</v>
      </c>
      <c r="H289" s="17"/>
    </row>
    <row r="290" spans="1:8" ht="24.95" customHeight="1" x14ac:dyDescent="0.4">
      <c r="A290" s="13">
        <v>77599</v>
      </c>
      <c r="B290" s="14">
        <v>46199</v>
      </c>
      <c r="C290" s="15" t="s">
        <v>6</v>
      </c>
      <c r="D290" s="15" t="s">
        <v>7</v>
      </c>
      <c r="E290" s="15" t="s">
        <v>307</v>
      </c>
      <c r="F290" s="16">
        <v>525685500</v>
      </c>
      <c r="G290" s="16">
        <f>F290*$G$1</f>
        <v>367979850</v>
      </c>
      <c r="H290" s="17"/>
    </row>
    <row r="291" spans="1:8" ht="24.95" customHeight="1" x14ac:dyDescent="0.4">
      <c r="A291" s="13">
        <v>77568</v>
      </c>
      <c r="B291" s="14">
        <v>46210</v>
      </c>
      <c r="C291" s="15" t="s">
        <v>6</v>
      </c>
      <c r="D291" s="15" t="s">
        <v>7</v>
      </c>
      <c r="E291" s="15" t="s">
        <v>99</v>
      </c>
      <c r="F291" s="16">
        <v>775000</v>
      </c>
      <c r="G291" s="16">
        <f>F291*$G$1</f>
        <v>542500</v>
      </c>
      <c r="H291" s="17"/>
    </row>
    <row r="292" spans="1:8" ht="24.95" customHeight="1" x14ac:dyDescent="0.4">
      <c r="A292" s="13">
        <v>77730</v>
      </c>
      <c r="B292" s="14">
        <v>46205</v>
      </c>
      <c r="C292" s="15" t="s">
        <v>6</v>
      </c>
      <c r="D292" s="15" t="s">
        <v>7</v>
      </c>
      <c r="E292" s="15" t="s">
        <v>207</v>
      </c>
      <c r="F292" s="16">
        <v>35100000</v>
      </c>
      <c r="G292" s="16">
        <f>F292*$G$1</f>
        <v>24570000</v>
      </c>
      <c r="H292" s="17"/>
    </row>
    <row r="293" spans="1:8" ht="24.95" customHeight="1" x14ac:dyDescent="0.4">
      <c r="A293" s="13">
        <v>77748</v>
      </c>
      <c r="B293" s="14">
        <v>46206</v>
      </c>
      <c r="C293" s="15" t="s">
        <v>6</v>
      </c>
      <c r="D293" s="15" t="s">
        <v>7</v>
      </c>
      <c r="E293" s="15" t="s">
        <v>207</v>
      </c>
      <c r="F293" s="16">
        <v>27264000</v>
      </c>
      <c r="G293" s="16">
        <f>F293*$G$1</f>
        <v>19084800</v>
      </c>
      <c r="H293" s="17"/>
    </row>
    <row r="294" spans="1:8" ht="24.95" customHeight="1" x14ac:dyDescent="0.4">
      <c r="A294" s="13">
        <v>75845</v>
      </c>
      <c r="B294" s="14">
        <v>46205</v>
      </c>
      <c r="C294" s="15" t="s">
        <v>6</v>
      </c>
      <c r="D294" s="15" t="s">
        <v>7</v>
      </c>
      <c r="E294" s="15" t="s">
        <v>14</v>
      </c>
      <c r="F294" s="16">
        <v>786270000</v>
      </c>
      <c r="G294" s="16">
        <f>F294*$G$1</f>
        <v>550389000</v>
      </c>
      <c r="H294" s="17"/>
    </row>
    <row r="295" spans="1:8" ht="24.95" customHeight="1" x14ac:dyDescent="0.4">
      <c r="A295" s="13">
        <v>76065</v>
      </c>
      <c r="B295" s="14">
        <v>46227</v>
      </c>
      <c r="C295" s="15" t="s">
        <v>6</v>
      </c>
      <c r="D295" s="15" t="s">
        <v>7</v>
      </c>
      <c r="E295" s="15" t="s">
        <v>14</v>
      </c>
      <c r="F295" s="16" t="s">
        <v>117</v>
      </c>
      <c r="G295" s="16">
        <v>798002400</v>
      </c>
      <c r="H295" s="17"/>
    </row>
    <row r="296" spans="1:8" ht="24.95" customHeight="1" x14ac:dyDescent="0.4">
      <c r="A296" s="13">
        <v>76082</v>
      </c>
      <c r="B296" s="14">
        <v>46212</v>
      </c>
      <c r="C296" s="15" t="s">
        <v>6</v>
      </c>
      <c r="D296" s="15" t="s">
        <v>7</v>
      </c>
      <c r="E296" s="15" t="s">
        <v>14</v>
      </c>
      <c r="F296" s="16">
        <v>413859000</v>
      </c>
      <c r="G296" s="16">
        <f>F296*$G$1</f>
        <v>289701300</v>
      </c>
      <c r="H296" s="17"/>
    </row>
    <row r="297" spans="1:8" ht="24.95" customHeight="1" x14ac:dyDescent="0.4">
      <c r="A297" s="13">
        <v>76243</v>
      </c>
      <c r="B297" s="14">
        <v>46227</v>
      </c>
      <c r="C297" s="15" t="s">
        <v>6</v>
      </c>
      <c r="D297" s="15" t="s">
        <v>7</v>
      </c>
      <c r="E297" s="15" t="s">
        <v>14</v>
      </c>
      <c r="F297" s="16">
        <v>1995006000</v>
      </c>
      <c r="G297" s="16">
        <f>F297*$G$1</f>
        <v>1396504200</v>
      </c>
      <c r="H297" s="17"/>
    </row>
    <row r="298" spans="1:8" ht="24.95" customHeight="1" x14ac:dyDescent="0.4">
      <c r="A298" s="13">
        <v>76606</v>
      </c>
      <c r="B298" s="14">
        <v>46240</v>
      </c>
      <c r="C298" s="15" t="s">
        <v>6</v>
      </c>
      <c r="D298" s="15" t="s">
        <v>7</v>
      </c>
      <c r="E298" s="15" t="s">
        <v>14</v>
      </c>
      <c r="F298" s="16">
        <v>1480978500</v>
      </c>
      <c r="G298" s="16">
        <f>F298*$G$1</f>
        <v>1036684949.9999999</v>
      </c>
      <c r="H298" s="17"/>
    </row>
    <row r="299" spans="1:8" ht="24.95" customHeight="1" x14ac:dyDescent="0.4">
      <c r="A299" s="13">
        <v>76652</v>
      </c>
      <c r="B299" s="14">
        <v>46191</v>
      </c>
      <c r="C299" s="15" t="s">
        <v>6</v>
      </c>
      <c r="D299" s="15" t="s">
        <v>7</v>
      </c>
      <c r="E299" s="15" t="s">
        <v>14</v>
      </c>
      <c r="F299" s="16">
        <v>460129280</v>
      </c>
      <c r="G299" s="16">
        <v>460129280</v>
      </c>
      <c r="H299" s="17"/>
    </row>
    <row r="300" spans="1:8" ht="24.95" customHeight="1" x14ac:dyDescent="0.4">
      <c r="A300" s="13">
        <v>76678</v>
      </c>
      <c r="B300" s="14">
        <v>46209</v>
      </c>
      <c r="C300" s="15" t="s">
        <v>6</v>
      </c>
      <c r="D300" s="15" t="s">
        <v>7</v>
      </c>
      <c r="E300" s="15" t="s">
        <v>14</v>
      </c>
      <c r="F300" s="16">
        <v>660988855</v>
      </c>
      <c r="G300" s="16">
        <f>F300*$G$1</f>
        <v>462692198.5</v>
      </c>
      <c r="H300" s="17"/>
    </row>
    <row r="301" spans="1:8" ht="24.95" customHeight="1" x14ac:dyDescent="0.4">
      <c r="A301" s="13">
        <v>76694</v>
      </c>
      <c r="B301" s="14">
        <v>46203</v>
      </c>
      <c r="C301" s="15" t="s">
        <v>6</v>
      </c>
      <c r="D301" s="15" t="s">
        <v>7</v>
      </c>
      <c r="E301" s="15" t="s">
        <v>14</v>
      </c>
      <c r="F301" s="16">
        <v>56070000</v>
      </c>
      <c r="G301" s="16">
        <f>F301*$G$1</f>
        <v>39249000</v>
      </c>
      <c r="H301" s="17"/>
    </row>
    <row r="302" spans="1:8" ht="24.95" customHeight="1" x14ac:dyDescent="0.4">
      <c r="A302" s="13">
        <v>76767</v>
      </c>
      <c r="B302" s="14">
        <v>46204</v>
      </c>
      <c r="C302" s="15" t="s">
        <v>6</v>
      </c>
      <c r="D302" s="15" t="s">
        <v>7</v>
      </c>
      <c r="E302" s="15" t="s">
        <v>14</v>
      </c>
      <c r="F302" s="16">
        <v>3275230000</v>
      </c>
      <c r="G302" s="16">
        <f>F302*$G$1</f>
        <v>2292661000</v>
      </c>
      <c r="H302" s="17"/>
    </row>
    <row r="303" spans="1:8" ht="24.95" customHeight="1" x14ac:dyDescent="0.4">
      <c r="A303" s="13">
        <v>76932</v>
      </c>
      <c r="B303" s="14">
        <v>46218</v>
      </c>
      <c r="C303" s="15" t="s">
        <v>6</v>
      </c>
      <c r="D303" s="15" t="s">
        <v>7</v>
      </c>
      <c r="E303" s="15" t="s">
        <v>14</v>
      </c>
      <c r="F303" s="16">
        <v>372319808</v>
      </c>
      <c r="G303" s="16">
        <v>372319808</v>
      </c>
      <c r="H303" s="17"/>
    </row>
    <row r="304" spans="1:8" ht="24.95" customHeight="1" x14ac:dyDescent="0.4">
      <c r="A304" s="13">
        <v>77031</v>
      </c>
      <c r="B304" s="14">
        <v>46203</v>
      </c>
      <c r="C304" s="15" t="s">
        <v>6</v>
      </c>
      <c r="D304" s="15" t="s">
        <v>7</v>
      </c>
      <c r="E304" s="15" t="s">
        <v>14</v>
      </c>
      <c r="F304" s="16">
        <v>337111500</v>
      </c>
      <c r="G304" s="16">
        <f>F304*$G$1</f>
        <v>235978049.99999997</v>
      </c>
      <c r="H304" s="17"/>
    </row>
    <row r="305" spans="1:8" ht="24.95" customHeight="1" x14ac:dyDescent="0.4">
      <c r="A305" s="13">
        <v>77034</v>
      </c>
      <c r="B305" s="14">
        <v>46191</v>
      </c>
      <c r="C305" s="15" t="s">
        <v>6</v>
      </c>
      <c r="D305" s="15" t="s">
        <v>7</v>
      </c>
      <c r="E305" s="15" t="s">
        <v>14</v>
      </c>
      <c r="F305" s="16">
        <v>188397000</v>
      </c>
      <c r="G305" s="16">
        <f>F305*$G$1</f>
        <v>131877899.99999999</v>
      </c>
      <c r="H305" s="17"/>
    </row>
    <row r="306" spans="1:8" ht="24.95" customHeight="1" x14ac:dyDescent="0.4">
      <c r="A306" s="13">
        <v>77069</v>
      </c>
      <c r="B306" s="14">
        <v>46196</v>
      </c>
      <c r="C306" s="15" t="s">
        <v>6</v>
      </c>
      <c r="D306" s="15" t="s">
        <v>7</v>
      </c>
      <c r="E306" s="15" t="s">
        <v>14</v>
      </c>
      <c r="F306" s="16">
        <v>489981000</v>
      </c>
      <c r="G306" s="16">
        <v>489981000</v>
      </c>
      <c r="H306" s="17"/>
    </row>
    <row r="307" spans="1:8" ht="24.95" customHeight="1" x14ac:dyDescent="0.4">
      <c r="A307" s="13">
        <v>77118</v>
      </c>
      <c r="B307" s="14">
        <v>46204</v>
      </c>
      <c r="C307" s="15" t="s">
        <v>6</v>
      </c>
      <c r="D307" s="15" t="s">
        <v>7</v>
      </c>
      <c r="E307" s="15" t="s">
        <v>14</v>
      </c>
      <c r="F307" s="16">
        <v>223012500</v>
      </c>
      <c r="G307" s="16">
        <f>F307*$G$1</f>
        <v>156108750</v>
      </c>
      <c r="H307" s="17"/>
    </row>
    <row r="308" spans="1:8" ht="24.95" customHeight="1" x14ac:dyDescent="0.4">
      <c r="A308" s="13">
        <v>77177</v>
      </c>
      <c r="B308" s="14">
        <v>46191</v>
      </c>
      <c r="C308" s="15" t="s">
        <v>6</v>
      </c>
      <c r="D308" s="15" t="s">
        <v>7</v>
      </c>
      <c r="E308" s="15" t="s">
        <v>14</v>
      </c>
      <c r="F308" s="16">
        <v>156258000</v>
      </c>
      <c r="G308" s="16">
        <f>F308*$G$1</f>
        <v>109380600</v>
      </c>
      <c r="H308" s="17"/>
    </row>
    <row r="309" spans="1:8" ht="24.95" customHeight="1" x14ac:dyDescent="0.4">
      <c r="A309" s="13">
        <v>77178</v>
      </c>
      <c r="B309" s="14">
        <v>46191</v>
      </c>
      <c r="C309" s="15" t="s">
        <v>6</v>
      </c>
      <c r="D309" s="15" t="s">
        <v>7</v>
      </c>
      <c r="E309" s="15" t="s">
        <v>14</v>
      </c>
      <c r="F309" s="16">
        <v>387603000</v>
      </c>
      <c r="G309" s="16">
        <f>F309*$G$1</f>
        <v>271322100</v>
      </c>
      <c r="H309" s="17"/>
    </row>
    <row r="310" spans="1:8" ht="24.95" customHeight="1" x14ac:dyDescent="0.4">
      <c r="A310" s="13">
        <v>77185</v>
      </c>
      <c r="B310" s="14">
        <v>46192</v>
      </c>
      <c r="C310" s="15" t="s">
        <v>6</v>
      </c>
      <c r="D310" s="15" t="s">
        <v>7</v>
      </c>
      <c r="E310" s="15" t="s">
        <v>14</v>
      </c>
      <c r="F310" s="16">
        <v>2000602733</v>
      </c>
      <c r="G310" s="16">
        <f>F310*$G$1</f>
        <v>1400421913.0999999</v>
      </c>
      <c r="H310" s="17"/>
    </row>
    <row r="311" spans="1:8" ht="24.95" customHeight="1" x14ac:dyDescent="0.4">
      <c r="A311" s="13">
        <v>77186</v>
      </c>
      <c r="B311" s="14">
        <v>46195</v>
      </c>
      <c r="C311" s="15" t="s">
        <v>6</v>
      </c>
      <c r="D311" s="15" t="s">
        <v>7</v>
      </c>
      <c r="E311" s="15" t="s">
        <v>14</v>
      </c>
      <c r="F311" s="16">
        <v>935856000</v>
      </c>
      <c r="G311" s="16">
        <f>F311*$G$1</f>
        <v>655099200</v>
      </c>
      <c r="H311" s="17"/>
    </row>
    <row r="312" spans="1:8" ht="24.95" customHeight="1" x14ac:dyDescent="0.4">
      <c r="A312" s="13">
        <v>77277</v>
      </c>
      <c r="B312" s="14">
        <v>46218</v>
      </c>
      <c r="C312" s="15" t="s">
        <v>6</v>
      </c>
      <c r="D312" s="15" t="s">
        <v>7</v>
      </c>
      <c r="E312" s="15" t="s">
        <v>14</v>
      </c>
      <c r="F312" s="16">
        <v>856339369.70000005</v>
      </c>
      <c r="G312" s="16">
        <v>856339369.70000005</v>
      </c>
      <c r="H312" s="17"/>
    </row>
    <row r="313" spans="1:8" ht="24.95" customHeight="1" x14ac:dyDescent="0.4">
      <c r="A313" s="13">
        <v>77292</v>
      </c>
      <c r="B313" s="14">
        <v>46197</v>
      </c>
      <c r="C313" s="15" t="s">
        <v>6</v>
      </c>
      <c r="D313" s="15" t="s">
        <v>7</v>
      </c>
      <c r="E313" s="15" t="s">
        <v>14</v>
      </c>
      <c r="F313" s="16">
        <v>578787301</v>
      </c>
      <c r="G313" s="16">
        <v>578787301</v>
      </c>
      <c r="H313" s="17"/>
    </row>
    <row r="314" spans="1:8" ht="24.95" customHeight="1" x14ac:dyDescent="0.4">
      <c r="A314" s="13">
        <v>77297</v>
      </c>
      <c r="B314" s="14">
        <v>46196</v>
      </c>
      <c r="C314" s="15" t="s">
        <v>6</v>
      </c>
      <c r="D314" s="15" t="s">
        <v>7</v>
      </c>
      <c r="E314" s="15" t="s">
        <v>14</v>
      </c>
      <c r="F314" s="16">
        <v>713773500</v>
      </c>
      <c r="G314" s="16">
        <f>F314*$G$1</f>
        <v>499641449.99999994</v>
      </c>
      <c r="H314" s="17"/>
    </row>
    <row r="315" spans="1:8" ht="24.95" customHeight="1" x14ac:dyDescent="0.4">
      <c r="A315" s="13">
        <v>77299</v>
      </c>
      <c r="B315" s="14">
        <v>46195</v>
      </c>
      <c r="C315" s="15" t="s">
        <v>6</v>
      </c>
      <c r="D315" s="15" t="s">
        <v>7</v>
      </c>
      <c r="E315" s="15" t="s">
        <v>14</v>
      </c>
      <c r="F315" s="16">
        <v>104490400</v>
      </c>
      <c r="G315" s="16">
        <f>F315*$G$1</f>
        <v>73143280</v>
      </c>
      <c r="H315" s="17"/>
    </row>
    <row r="316" spans="1:8" ht="24.95" customHeight="1" x14ac:dyDescent="0.4">
      <c r="A316" s="13">
        <v>77301</v>
      </c>
      <c r="B316" s="14">
        <v>46205</v>
      </c>
      <c r="C316" s="15" t="s">
        <v>6</v>
      </c>
      <c r="D316" s="15" t="s">
        <v>7</v>
      </c>
      <c r="E316" s="15" t="s">
        <v>14</v>
      </c>
      <c r="F316" s="16">
        <v>375258000</v>
      </c>
      <c r="G316" s="16">
        <f>F316*$G$1</f>
        <v>262680599.99999997</v>
      </c>
      <c r="H316" s="17"/>
    </row>
    <row r="317" spans="1:8" ht="24.95" customHeight="1" x14ac:dyDescent="0.4">
      <c r="A317" s="13">
        <v>77315</v>
      </c>
      <c r="B317" s="14">
        <v>46198</v>
      </c>
      <c r="C317" s="15" t="s">
        <v>6</v>
      </c>
      <c r="D317" s="15" t="s">
        <v>7</v>
      </c>
      <c r="E317" s="15" t="s">
        <v>14</v>
      </c>
      <c r="F317" s="16">
        <v>228385500</v>
      </c>
      <c r="G317" s="16">
        <f>F317*$G$1</f>
        <v>159869850</v>
      </c>
      <c r="H317" s="17"/>
    </row>
    <row r="318" spans="1:8" ht="24.95" customHeight="1" x14ac:dyDescent="0.4">
      <c r="A318" s="13">
        <v>77372</v>
      </c>
      <c r="B318" s="14">
        <v>46191</v>
      </c>
      <c r="C318" s="15" t="s">
        <v>6</v>
      </c>
      <c r="D318" s="15" t="s">
        <v>7</v>
      </c>
      <c r="E318" s="15" t="s">
        <v>14</v>
      </c>
      <c r="F318" s="16">
        <v>364060510</v>
      </c>
      <c r="G318" s="16">
        <v>364060510</v>
      </c>
      <c r="H318" s="17"/>
    </row>
    <row r="319" spans="1:8" ht="24.95" customHeight="1" x14ac:dyDescent="0.4">
      <c r="A319" s="13">
        <v>77373</v>
      </c>
      <c r="B319" s="14">
        <v>46191</v>
      </c>
      <c r="C319" s="15" t="s">
        <v>6</v>
      </c>
      <c r="D319" s="15" t="s">
        <v>7</v>
      </c>
      <c r="E319" s="15" t="s">
        <v>14</v>
      </c>
      <c r="F319" s="16">
        <v>850421002</v>
      </c>
      <c r="G319" s="16">
        <v>850421002</v>
      </c>
      <c r="H319" s="17"/>
    </row>
    <row r="320" spans="1:8" ht="24.95" customHeight="1" x14ac:dyDescent="0.4">
      <c r="A320" s="13">
        <v>77377</v>
      </c>
      <c r="B320" s="14">
        <v>46211</v>
      </c>
      <c r="C320" s="15" t="s">
        <v>6</v>
      </c>
      <c r="D320" s="15" t="s">
        <v>7</v>
      </c>
      <c r="E320" s="15" t="s">
        <v>14</v>
      </c>
      <c r="F320" s="16">
        <v>503600000</v>
      </c>
      <c r="G320" s="16">
        <f>F320*$G$1</f>
        <v>352520000</v>
      </c>
      <c r="H320" s="17"/>
    </row>
    <row r="321" spans="1:8" ht="24.95" customHeight="1" x14ac:dyDescent="0.4">
      <c r="A321" s="13">
        <v>77385</v>
      </c>
      <c r="B321" s="14">
        <v>46196</v>
      </c>
      <c r="C321" s="15" t="s">
        <v>6</v>
      </c>
      <c r="D321" s="15" t="s">
        <v>7</v>
      </c>
      <c r="E321" s="15" t="s">
        <v>14</v>
      </c>
      <c r="F321" s="16">
        <v>213689400</v>
      </c>
      <c r="G321" s="16">
        <f>F321*$G$1</f>
        <v>149582580</v>
      </c>
      <c r="H321" s="17"/>
    </row>
    <row r="322" spans="1:8" ht="24.95" customHeight="1" x14ac:dyDescent="0.4">
      <c r="A322" s="13">
        <v>77425</v>
      </c>
      <c r="B322" s="14">
        <v>46192</v>
      </c>
      <c r="C322" s="15" t="s">
        <v>6</v>
      </c>
      <c r="D322" s="15" t="s">
        <v>7</v>
      </c>
      <c r="E322" s="15" t="s">
        <v>14</v>
      </c>
      <c r="F322" s="16">
        <v>6826534500</v>
      </c>
      <c r="G322" s="16">
        <f>F322*$G$1</f>
        <v>4778574150</v>
      </c>
      <c r="H322" s="17"/>
    </row>
    <row r="323" spans="1:8" ht="24.95" customHeight="1" x14ac:dyDescent="0.4">
      <c r="A323" s="13">
        <v>77461</v>
      </c>
      <c r="B323" s="14">
        <v>46198</v>
      </c>
      <c r="C323" s="15" t="s">
        <v>6</v>
      </c>
      <c r="D323" s="15" t="s">
        <v>7</v>
      </c>
      <c r="E323" s="15" t="s">
        <v>14</v>
      </c>
      <c r="F323" s="16">
        <v>555840000</v>
      </c>
      <c r="G323" s="16">
        <f>F323*$G$1</f>
        <v>389088000</v>
      </c>
      <c r="H323" s="17"/>
    </row>
    <row r="324" spans="1:8" ht="24.95" customHeight="1" x14ac:dyDescent="0.4">
      <c r="A324" s="13">
        <v>77462</v>
      </c>
      <c r="B324" s="14">
        <v>46205</v>
      </c>
      <c r="C324" s="15" t="s">
        <v>6</v>
      </c>
      <c r="D324" s="15" t="s">
        <v>7</v>
      </c>
      <c r="E324" s="15" t="s">
        <v>14</v>
      </c>
      <c r="F324" s="16">
        <v>1535625000</v>
      </c>
      <c r="G324" s="16">
        <v>1535625000</v>
      </c>
      <c r="H324" s="17"/>
    </row>
    <row r="325" spans="1:8" ht="24.95" customHeight="1" x14ac:dyDescent="0.4">
      <c r="A325" s="13">
        <v>77465</v>
      </c>
      <c r="B325" s="14">
        <v>46204</v>
      </c>
      <c r="C325" s="15" t="s">
        <v>6</v>
      </c>
      <c r="D325" s="15" t="s">
        <v>7</v>
      </c>
      <c r="E325" s="15" t="s">
        <v>14</v>
      </c>
      <c r="F325" s="16">
        <v>809709000</v>
      </c>
      <c r="G325" s="16">
        <f>F325*$G$1</f>
        <v>566796300</v>
      </c>
      <c r="H325" s="17"/>
    </row>
    <row r="326" spans="1:8" ht="24.95" customHeight="1" x14ac:dyDescent="0.4">
      <c r="A326" s="13">
        <v>77466</v>
      </c>
      <c r="B326" s="14">
        <v>46197</v>
      </c>
      <c r="C326" s="15" t="s">
        <v>6</v>
      </c>
      <c r="D326" s="15" t="s">
        <v>7</v>
      </c>
      <c r="E326" s="15" t="s">
        <v>14</v>
      </c>
      <c r="F326" s="16">
        <v>3834271887</v>
      </c>
      <c r="G326" s="16">
        <f>F326*$G$1</f>
        <v>2683990320.8999996</v>
      </c>
      <c r="H326" s="17"/>
    </row>
    <row r="327" spans="1:8" ht="24.95" customHeight="1" x14ac:dyDescent="0.4">
      <c r="A327" s="13">
        <v>77474</v>
      </c>
      <c r="B327" s="14">
        <v>46198</v>
      </c>
      <c r="C327" s="15" t="s">
        <v>6</v>
      </c>
      <c r="D327" s="15" t="s">
        <v>7</v>
      </c>
      <c r="E327" s="15" t="s">
        <v>14</v>
      </c>
      <c r="F327" s="16">
        <v>339732000</v>
      </c>
      <c r="G327" s="16">
        <f>F327*$G$1</f>
        <v>237812399.99999997</v>
      </c>
      <c r="H327" s="17"/>
    </row>
    <row r="328" spans="1:8" ht="24.95" customHeight="1" x14ac:dyDescent="0.4">
      <c r="A328" s="13">
        <v>77482</v>
      </c>
      <c r="B328" s="14">
        <v>46198</v>
      </c>
      <c r="C328" s="15" t="s">
        <v>6</v>
      </c>
      <c r="D328" s="15" t="s">
        <v>7</v>
      </c>
      <c r="E328" s="15" t="s">
        <v>14</v>
      </c>
      <c r="F328" s="16">
        <v>1127218500</v>
      </c>
      <c r="G328" s="16">
        <f>F328*$G$1</f>
        <v>789052950</v>
      </c>
      <c r="H328" s="17"/>
    </row>
    <row r="329" spans="1:8" ht="24.95" customHeight="1" x14ac:dyDescent="0.4">
      <c r="A329" s="13">
        <v>77494</v>
      </c>
      <c r="B329" s="14">
        <v>46191</v>
      </c>
      <c r="C329" s="15" t="s">
        <v>6</v>
      </c>
      <c r="D329" s="15" t="s">
        <v>7</v>
      </c>
      <c r="E329" s="15" t="s">
        <v>14</v>
      </c>
      <c r="F329" s="16">
        <v>495285000</v>
      </c>
      <c r="G329" s="16">
        <v>495285000</v>
      </c>
      <c r="H329" s="17"/>
    </row>
    <row r="330" spans="1:8" ht="24.95" customHeight="1" x14ac:dyDescent="0.4">
      <c r="A330" s="13">
        <v>77503</v>
      </c>
      <c r="B330" s="14">
        <v>46199</v>
      </c>
      <c r="C330" s="15" t="s">
        <v>6</v>
      </c>
      <c r="D330" s="15" t="s">
        <v>7</v>
      </c>
      <c r="E330" s="15" t="s">
        <v>14</v>
      </c>
      <c r="F330" s="16">
        <v>6948127500</v>
      </c>
      <c r="G330" s="16">
        <f>F330*$G$1</f>
        <v>4863689250</v>
      </c>
      <c r="H330" s="17"/>
    </row>
    <row r="331" spans="1:8" ht="24.95" customHeight="1" x14ac:dyDescent="0.4">
      <c r="A331" s="13">
        <v>77548</v>
      </c>
      <c r="B331" s="14">
        <v>46198</v>
      </c>
      <c r="C331" s="15" t="s">
        <v>6</v>
      </c>
      <c r="D331" s="15" t="s">
        <v>7</v>
      </c>
      <c r="E331" s="15" t="s">
        <v>14</v>
      </c>
      <c r="F331" s="16">
        <v>650750000</v>
      </c>
      <c r="G331" s="16">
        <f>F331*$G$1</f>
        <v>455525000</v>
      </c>
      <c r="H331" s="17"/>
    </row>
    <row r="332" spans="1:8" ht="24.95" customHeight="1" x14ac:dyDescent="0.4">
      <c r="A332" s="13">
        <v>77557</v>
      </c>
      <c r="B332" s="14">
        <v>46210</v>
      </c>
      <c r="C332" s="15" t="s">
        <v>6</v>
      </c>
      <c r="D332" s="15" t="s">
        <v>7</v>
      </c>
      <c r="E332" s="15" t="s">
        <v>14</v>
      </c>
      <c r="F332" s="16">
        <v>295288498</v>
      </c>
      <c r="G332" s="16">
        <v>295288498</v>
      </c>
      <c r="H332" s="17"/>
    </row>
    <row r="333" spans="1:8" ht="24.95" customHeight="1" x14ac:dyDescent="0.4">
      <c r="A333" s="13">
        <v>77570</v>
      </c>
      <c r="B333" s="14">
        <v>46217</v>
      </c>
      <c r="C333" s="15" t="s">
        <v>6</v>
      </c>
      <c r="D333" s="15" t="s">
        <v>7</v>
      </c>
      <c r="E333" s="15" t="s">
        <v>14</v>
      </c>
      <c r="F333" s="16">
        <v>335427000</v>
      </c>
      <c r="G333" s="16">
        <f>F333*$G$1</f>
        <v>234798900</v>
      </c>
      <c r="H333" s="17"/>
    </row>
    <row r="334" spans="1:8" ht="24.95" customHeight="1" x14ac:dyDescent="0.4">
      <c r="A334" s="13">
        <v>77581</v>
      </c>
      <c r="B334" s="14">
        <v>46197</v>
      </c>
      <c r="C334" s="15" t="s">
        <v>6</v>
      </c>
      <c r="D334" s="15" t="s">
        <v>7</v>
      </c>
      <c r="E334" s="15" t="s">
        <v>14</v>
      </c>
      <c r="F334" s="16">
        <v>53227500</v>
      </c>
      <c r="G334" s="16">
        <f>F334*$G$1</f>
        <v>37259250</v>
      </c>
      <c r="H334" s="17"/>
    </row>
    <row r="335" spans="1:8" ht="24.95" customHeight="1" x14ac:dyDescent="0.4">
      <c r="A335" s="13">
        <v>77583</v>
      </c>
      <c r="B335" s="14">
        <v>46191</v>
      </c>
      <c r="C335" s="15" t="s">
        <v>6</v>
      </c>
      <c r="D335" s="15" t="s">
        <v>7</v>
      </c>
      <c r="E335" s="15" t="s">
        <v>14</v>
      </c>
      <c r="F335" s="16">
        <v>309060000</v>
      </c>
      <c r="G335" s="16">
        <f>F335*$G$1</f>
        <v>216342000</v>
      </c>
      <c r="H335" s="17"/>
    </row>
    <row r="336" spans="1:8" ht="24.95" customHeight="1" x14ac:dyDescent="0.4">
      <c r="A336" s="13">
        <v>77584</v>
      </c>
      <c r="B336" s="14">
        <v>46204</v>
      </c>
      <c r="C336" s="15" t="s">
        <v>6</v>
      </c>
      <c r="D336" s="15" t="s">
        <v>7</v>
      </c>
      <c r="E336" s="15" t="s">
        <v>14</v>
      </c>
      <c r="F336" s="16">
        <v>165121900</v>
      </c>
      <c r="G336" s="16">
        <f>F336*$G$1</f>
        <v>115585330</v>
      </c>
      <c r="H336" s="17"/>
    </row>
    <row r="337" spans="1:8" ht="24.95" customHeight="1" x14ac:dyDescent="0.4">
      <c r="A337" s="13">
        <v>77590</v>
      </c>
      <c r="B337" s="14">
        <v>46196</v>
      </c>
      <c r="C337" s="15" t="s">
        <v>6</v>
      </c>
      <c r="D337" s="15" t="s">
        <v>7</v>
      </c>
      <c r="E337" s="15" t="s">
        <v>14</v>
      </c>
      <c r="F337" s="16">
        <v>949857500</v>
      </c>
      <c r="G337" s="16">
        <v>949857500</v>
      </c>
      <c r="H337" s="17"/>
    </row>
    <row r="338" spans="1:8" ht="24.95" customHeight="1" x14ac:dyDescent="0.4">
      <c r="A338" s="13">
        <v>77598</v>
      </c>
      <c r="B338" s="14">
        <v>46197</v>
      </c>
      <c r="C338" s="15" t="s">
        <v>6</v>
      </c>
      <c r="D338" s="15" t="s">
        <v>7</v>
      </c>
      <c r="E338" s="15" t="s">
        <v>14</v>
      </c>
      <c r="F338" s="16">
        <v>98923500</v>
      </c>
      <c r="G338" s="16">
        <f>F338*$G$1</f>
        <v>69246450</v>
      </c>
      <c r="H338" s="17"/>
    </row>
    <row r="339" spans="1:8" ht="24.95" customHeight="1" x14ac:dyDescent="0.4">
      <c r="A339" s="13">
        <v>77705</v>
      </c>
      <c r="B339" s="14">
        <v>46218</v>
      </c>
      <c r="C339" s="15" t="s">
        <v>6</v>
      </c>
      <c r="D339" s="15" t="s">
        <v>7</v>
      </c>
      <c r="E339" s="15" t="s">
        <v>14</v>
      </c>
      <c r="F339" s="16">
        <v>856339369</v>
      </c>
      <c r="G339" s="16">
        <v>856339369</v>
      </c>
      <c r="H339" s="17"/>
    </row>
    <row r="340" spans="1:8" ht="24.95" customHeight="1" x14ac:dyDescent="0.4">
      <c r="A340" s="13">
        <v>77719</v>
      </c>
      <c r="B340" s="14">
        <v>46205</v>
      </c>
      <c r="C340" s="15" t="s">
        <v>6</v>
      </c>
      <c r="D340" s="15" t="s">
        <v>7</v>
      </c>
      <c r="E340" s="15" t="s">
        <v>14</v>
      </c>
      <c r="F340" s="16">
        <v>487385857003</v>
      </c>
      <c r="G340" s="16">
        <f>F340*$G$1</f>
        <v>341170099902.09998</v>
      </c>
      <c r="H340" s="17"/>
    </row>
    <row r="341" spans="1:8" ht="24.95" customHeight="1" x14ac:dyDescent="0.4">
      <c r="A341" s="13">
        <v>77722</v>
      </c>
      <c r="B341" s="14">
        <v>46213</v>
      </c>
      <c r="C341" s="15" t="s">
        <v>6</v>
      </c>
      <c r="D341" s="15" t="s">
        <v>7</v>
      </c>
      <c r="E341" s="15" t="s">
        <v>14</v>
      </c>
      <c r="F341" s="16">
        <v>554201977</v>
      </c>
      <c r="G341" s="16">
        <f>F341*$G$1</f>
        <v>387941383.89999998</v>
      </c>
      <c r="H341" s="17"/>
    </row>
    <row r="342" spans="1:8" ht="24.95" customHeight="1" x14ac:dyDescent="0.4">
      <c r="A342" s="13">
        <v>77723</v>
      </c>
      <c r="B342" s="14">
        <v>46211</v>
      </c>
      <c r="C342" s="15" t="s">
        <v>6</v>
      </c>
      <c r="D342" s="15" t="s">
        <v>7</v>
      </c>
      <c r="E342" s="15" t="s">
        <v>14</v>
      </c>
      <c r="F342" s="16">
        <v>138214500</v>
      </c>
      <c r="G342" s="16">
        <f>F342*$G$1</f>
        <v>96750150</v>
      </c>
      <c r="H342" s="17"/>
    </row>
    <row r="343" spans="1:8" ht="24.95" customHeight="1" x14ac:dyDescent="0.4">
      <c r="A343" s="13">
        <v>77737</v>
      </c>
      <c r="B343" s="14">
        <v>46211</v>
      </c>
      <c r="C343" s="15" t="s">
        <v>6</v>
      </c>
      <c r="D343" s="15" t="s">
        <v>7</v>
      </c>
      <c r="E343" s="15" t="s">
        <v>14</v>
      </c>
      <c r="F343" s="16">
        <v>75087000</v>
      </c>
      <c r="G343" s="16">
        <f>F343*$G$1</f>
        <v>52560900</v>
      </c>
      <c r="H343" s="17"/>
    </row>
    <row r="344" spans="1:8" ht="24.95" customHeight="1" x14ac:dyDescent="0.4">
      <c r="A344" s="13">
        <v>77744</v>
      </c>
      <c r="B344" s="14">
        <v>46232</v>
      </c>
      <c r="C344" s="15" t="s">
        <v>6</v>
      </c>
      <c r="D344" s="15" t="s">
        <v>7</v>
      </c>
      <c r="E344" s="15" t="s">
        <v>14</v>
      </c>
      <c r="F344" s="16">
        <v>575796306</v>
      </c>
      <c r="G344" s="16">
        <v>575796306</v>
      </c>
      <c r="H344" s="17"/>
    </row>
    <row r="345" spans="1:8" ht="24.95" customHeight="1" x14ac:dyDescent="0.4">
      <c r="A345" s="13">
        <v>77747</v>
      </c>
      <c r="B345" s="14">
        <v>46206</v>
      </c>
      <c r="C345" s="15" t="s">
        <v>6</v>
      </c>
      <c r="D345" s="15" t="s">
        <v>7</v>
      </c>
      <c r="E345" s="15" t="s">
        <v>14</v>
      </c>
      <c r="F345" s="16">
        <v>130815000</v>
      </c>
      <c r="G345" s="16">
        <f>F345*$G$1</f>
        <v>91570500</v>
      </c>
      <c r="H345" s="17"/>
    </row>
    <row r="346" spans="1:8" ht="24.95" customHeight="1" x14ac:dyDescent="0.4">
      <c r="A346" s="13">
        <v>77750</v>
      </c>
      <c r="B346" s="14">
        <v>46273</v>
      </c>
      <c r="C346" s="15" t="s">
        <v>6</v>
      </c>
      <c r="D346" s="15" t="s">
        <v>7</v>
      </c>
      <c r="E346" s="15" t="s">
        <v>14</v>
      </c>
      <c r="F346" s="16">
        <v>485605758.56999999</v>
      </c>
      <c r="G346" s="16">
        <f>F346*$G$1</f>
        <v>339924030.99899995</v>
      </c>
      <c r="H346" s="17"/>
    </row>
    <row r="347" spans="1:8" ht="24.95" customHeight="1" x14ac:dyDescent="0.4">
      <c r="A347" s="13">
        <v>77753</v>
      </c>
      <c r="B347" s="14">
        <v>46211</v>
      </c>
      <c r="C347" s="15" t="s">
        <v>6</v>
      </c>
      <c r="D347" s="15" t="s">
        <v>7</v>
      </c>
      <c r="E347" s="15" t="s">
        <v>14</v>
      </c>
      <c r="F347" s="16">
        <v>37465500</v>
      </c>
      <c r="G347" s="16">
        <f>F347*$G$1</f>
        <v>26225850</v>
      </c>
      <c r="H347" s="17"/>
    </row>
    <row r="348" spans="1:8" ht="24.95" customHeight="1" x14ac:dyDescent="0.4">
      <c r="A348" s="13">
        <v>77765</v>
      </c>
      <c r="B348" s="14">
        <v>46211</v>
      </c>
      <c r="C348" s="15" t="s">
        <v>6</v>
      </c>
      <c r="D348" s="15" t="s">
        <v>7</v>
      </c>
      <c r="E348" s="15" t="s">
        <v>14</v>
      </c>
      <c r="F348" s="16">
        <v>45805500</v>
      </c>
      <c r="G348" s="16">
        <f>F348*$G$1</f>
        <v>32063849.999999996</v>
      </c>
      <c r="H348" s="17"/>
    </row>
    <row r="349" spans="1:8" ht="24.95" customHeight="1" x14ac:dyDescent="0.4">
      <c r="A349" s="13">
        <v>77769</v>
      </c>
      <c r="B349" s="14">
        <v>46213</v>
      </c>
      <c r="C349" s="15" t="s">
        <v>6</v>
      </c>
      <c r="D349" s="15" t="s">
        <v>7</v>
      </c>
      <c r="E349" s="15" t="s">
        <v>14</v>
      </c>
      <c r="F349" s="16">
        <v>689605500</v>
      </c>
      <c r="G349" s="16">
        <f>F349*$G$1</f>
        <v>482723849.99999994</v>
      </c>
      <c r="H349" s="17"/>
    </row>
    <row r="350" spans="1:8" ht="24.95" customHeight="1" x14ac:dyDescent="0.4">
      <c r="A350" s="13">
        <v>77794</v>
      </c>
      <c r="B350" s="14">
        <v>46205</v>
      </c>
      <c r="C350" s="15" t="s">
        <v>6</v>
      </c>
      <c r="D350" s="15" t="s">
        <v>7</v>
      </c>
      <c r="E350" s="15" t="s">
        <v>14</v>
      </c>
      <c r="F350" s="16">
        <v>438563292</v>
      </c>
      <c r="G350" s="16">
        <v>438563292</v>
      </c>
      <c r="H350" s="17"/>
    </row>
    <row r="351" spans="1:8" ht="24.95" customHeight="1" x14ac:dyDescent="0.4">
      <c r="A351" s="13">
        <v>77797</v>
      </c>
      <c r="B351" s="14">
        <v>46211</v>
      </c>
      <c r="C351" s="15" t="s">
        <v>6</v>
      </c>
      <c r="D351" s="15" t="s">
        <v>7</v>
      </c>
      <c r="E351" s="15" t="s">
        <v>14</v>
      </c>
      <c r="F351" s="16">
        <v>522536300</v>
      </c>
      <c r="G351" s="16">
        <v>522536300</v>
      </c>
      <c r="H351" s="17"/>
    </row>
    <row r="352" spans="1:8" ht="24.95" customHeight="1" x14ac:dyDescent="0.4">
      <c r="A352" s="13">
        <v>77801</v>
      </c>
      <c r="B352" s="14">
        <v>46213</v>
      </c>
      <c r="C352" s="15" t="s">
        <v>6</v>
      </c>
      <c r="D352" s="15" t="s">
        <v>7</v>
      </c>
      <c r="E352" s="15" t="s">
        <v>14</v>
      </c>
      <c r="F352" s="16">
        <v>1423770000</v>
      </c>
      <c r="G352" s="16">
        <f>F352*$G$1</f>
        <v>996638999.99999988</v>
      </c>
      <c r="H352" s="17"/>
    </row>
    <row r="353" spans="1:8" ht="24.95" customHeight="1" x14ac:dyDescent="0.4">
      <c r="A353" s="13">
        <v>77293</v>
      </c>
      <c r="B353" s="14">
        <v>46195</v>
      </c>
      <c r="C353" s="15" t="s">
        <v>6</v>
      </c>
      <c r="D353" s="15" t="s">
        <v>7</v>
      </c>
      <c r="E353" s="15" t="s">
        <v>95</v>
      </c>
      <c r="F353" s="16">
        <v>762696552</v>
      </c>
      <c r="G353" s="16">
        <f>F353*$G$1</f>
        <v>533887586.39999998</v>
      </c>
      <c r="H353" s="17"/>
    </row>
    <row r="354" spans="1:8" ht="24.95" customHeight="1" x14ac:dyDescent="0.4">
      <c r="A354" s="13">
        <v>77700</v>
      </c>
      <c r="B354" s="14">
        <v>46205</v>
      </c>
      <c r="C354" s="15" t="s">
        <v>6</v>
      </c>
      <c r="D354" s="15" t="s">
        <v>7</v>
      </c>
      <c r="E354" s="15" t="s">
        <v>95</v>
      </c>
      <c r="F354" s="16">
        <v>1097900000</v>
      </c>
      <c r="G354" s="16">
        <v>1097900000</v>
      </c>
      <c r="H354" s="17"/>
    </row>
    <row r="355" spans="1:8" ht="24.95" customHeight="1" x14ac:dyDescent="0.4">
      <c r="A355" s="13">
        <v>77702</v>
      </c>
      <c r="B355" s="14">
        <v>46205</v>
      </c>
      <c r="C355" s="15" t="s">
        <v>6</v>
      </c>
      <c r="D355" s="15" t="s">
        <v>7</v>
      </c>
      <c r="E355" s="15" t="s">
        <v>95</v>
      </c>
      <c r="F355" s="16">
        <v>398107000</v>
      </c>
      <c r="G355" s="16">
        <f>F355*$G$1</f>
        <v>278674900</v>
      </c>
      <c r="H355" s="17"/>
    </row>
    <row r="356" spans="1:8" ht="24.95" customHeight="1" x14ac:dyDescent="0.4">
      <c r="A356" s="13">
        <v>77755</v>
      </c>
      <c r="B356" s="14">
        <v>46209</v>
      </c>
      <c r="C356" s="15" t="s">
        <v>6</v>
      </c>
      <c r="D356" s="15" t="s">
        <v>7</v>
      </c>
      <c r="E356" s="15" t="s">
        <v>30</v>
      </c>
      <c r="F356" s="16">
        <v>23319000</v>
      </c>
      <c r="G356" s="16">
        <f>F356*$G$1</f>
        <v>16323299.999999998</v>
      </c>
      <c r="H356" s="17"/>
    </row>
    <row r="357" spans="1:8" ht="24.95" customHeight="1" x14ac:dyDescent="0.4">
      <c r="A357" s="13">
        <v>76155</v>
      </c>
      <c r="B357" s="14">
        <v>46196</v>
      </c>
      <c r="C357" s="15" t="s">
        <v>6</v>
      </c>
      <c r="D357" s="15" t="s">
        <v>7</v>
      </c>
      <c r="E357" s="15" t="s">
        <v>10</v>
      </c>
      <c r="F357" s="16">
        <v>207000000</v>
      </c>
      <c r="G357" s="16">
        <v>207000000</v>
      </c>
      <c r="H357" s="17"/>
    </row>
    <row r="358" spans="1:8" ht="24.95" customHeight="1" x14ac:dyDescent="0.4">
      <c r="A358" s="13">
        <v>77467</v>
      </c>
      <c r="B358" s="14">
        <v>46195</v>
      </c>
      <c r="C358" s="15" t="s">
        <v>6</v>
      </c>
      <c r="D358" s="15" t="s">
        <v>7</v>
      </c>
      <c r="E358" s="15" t="s">
        <v>10</v>
      </c>
      <c r="F358" s="16" t="s">
        <v>268</v>
      </c>
      <c r="G358" s="16">
        <v>759045000</v>
      </c>
      <c r="H358" s="17"/>
    </row>
    <row r="359" spans="1:8" ht="24.95" customHeight="1" x14ac:dyDescent="0.4">
      <c r="A359" s="13">
        <v>77485</v>
      </c>
      <c r="B359" s="14">
        <v>46198</v>
      </c>
      <c r="C359" s="15" t="s">
        <v>6</v>
      </c>
      <c r="D359" s="15" t="s">
        <v>7</v>
      </c>
      <c r="E359" s="15" t="s">
        <v>10</v>
      </c>
      <c r="F359" s="16">
        <v>637573500</v>
      </c>
      <c r="G359" s="16">
        <v>637573500</v>
      </c>
      <c r="H359" s="17"/>
    </row>
    <row r="360" spans="1:8" ht="24.95" customHeight="1" x14ac:dyDescent="0.4">
      <c r="A360" s="13">
        <v>77732</v>
      </c>
      <c r="B360" s="14">
        <v>46213</v>
      </c>
      <c r="C360" s="15" t="s">
        <v>6</v>
      </c>
      <c r="D360" s="15" t="s">
        <v>7</v>
      </c>
      <c r="E360" s="15" t="s">
        <v>10</v>
      </c>
      <c r="F360" s="16">
        <v>17398500</v>
      </c>
      <c r="G360" s="16">
        <f>F360*$G$1</f>
        <v>12178950</v>
      </c>
      <c r="H360" s="17"/>
    </row>
    <row r="361" spans="1:8" ht="24.95" customHeight="1" x14ac:dyDescent="0.4">
      <c r="A361" s="13">
        <v>77808</v>
      </c>
      <c r="B361" s="14">
        <v>46210</v>
      </c>
      <c r="C361" s="15" t="s">
        <v>6</v>
      </c>
      <c r="D361" s="15" t="s">
        <v>7</v>
      </c>
      <c r="E361" s="15" t="s">
        <v>10</v>
      </c>
      <c r="F361" s="16">
        <v>263084072</v>
      </c>
      <c r="G361" s="16">
        <f>F361*$G$1</f>
        <v>184158850.39999998</v>
      </c>
      <c r="H361" s="17"/>
    </row>
    <row r="362" spans="1:8" ht="24.95" customHeight="1" x14ac:dyDescent="0.4">
      <c r="A362" s="13">
        <v>77734</v>
      </c>
      <c r="B362" s="14">
        <v>46211</v>
      </c>
      <c r="C362" s="15" t="s">
        <v>6</v>
      </c>
      <c r="D362" s="15" t="s">
        <v>7</v>
      </c>
      <c r="E362" s="15" t="s">
        <v>137</v>
      </c>
      <c r="F362" s="16">
        <v>1683556500</v>
      </c>
      <c r="G362" s="16">
        <f>F362*$G$1</f>
        <v>1178489550</v>
      </c>
      <c r="H362" s="17"/>
    </row>
    <row r="363" spans="1:8" ht="24.95" customHeight="1" x14ac:dyDescent="0.4">
      <c r="A363" s="13">
        <v>77288</v>
      </c>
      <c r="B363" s="14">
        <v>46191</v>
      </c>
      <c r="C363" s="15" t="s">
        <v>6</v>
      </c>
      <c r="D363" s="15" t="s">
        <v>7</v>
      </c>
      <c r="E363" s="15" t="s">
        <v>56</v>
      </c>
      <c r="F363" s="16">
        <v>12950000</v>
      </c>
      <c r="G363" s="16">
        <f>F363*$G$1</f>
        <v>9065000</v>
      </c>
      <c r="H363" s="17"/>
    </row>
    <row r="364" spans="1:8" ht="24.95" customHeight="1" x14ac:dyDescent="0.4">
      <c r="A364" s="13">
        <v>77746</v>
      </c>
      <c r="B364" s="14">
        <v>46212</v>
      </c>
      <c r="C364" s="15" t="s">
        <v>6</v>
      </c>
      <c r="D364" s="15" t="s">
        <v>7</v>
      </c>
      <c r="E364" s="15" t="s">
        <v>37</v>
      </c>
      <c r="F364" s="16">
        <v>700000000</v>
      </c>
      <c r="G364" s="16">
        <f>F364*$G$1</f>
        <v>489999999.99999994</v>
      </c>
      <c r="H364" s="17"/>
    </row>
    <row r="365" spans="1:8" ht="24.95" customHeight="1" x14ac:dyDescent="0.4">
      <c r="A365" s="13">
        <v>77014</v>
      </c>
      <c r="B365" s="14">
        <v>46204</v>
      </c>
      <c r="C365" s="15" t="s">
        <v>6</v>
      </c>
      <c r="D365" s="15" t="s">
        <v>7</v>
      </c>
      <c r="E365" s="15" t="s">
        <v>11</v>
      </c>
      <c r="F365" s="16">
        <v>121200000</v>
      </c>
      <c r="G365" s="16">
        <f>F365*$G$1</f>
        <v>84840000</v>
      </c>
      <c r="H365" s="17" t="s">
        <v>177</v>
      </c>
    </row>
    <row r="366" spans="1:8" ht="24.95" customHeight="1" x14ac:dyDescent="0.4">
      <c r="A366" s="13">
        <v>77179</v>
      </c>
      <c r="B366" s="14">
        <v>46191</v>
      </c>
      <c r="C366" s="15" t="s">
        <v>6</v>
      </c>
      <c r="D366" s="15" t="s">
        <v>7</v>
      </c>
      <c r="E366" s="15" t="s">
        <v>11</v>
      </c>
      <c r="F366" s="16">
        <v>47340000</v>
      </c>
      <c r="G366" s="16">
        <f>F366*$G$1</f>
        <v>33137999.999999996</v>
      </c>
      <c r="H366" s="17" t="s">
        <v>209</v>
      </c>
    </row>
    <row r="367" spans="1:8" ht="24.95" customHeight="1" x14ac:dyDescent="0.4">
      <c r="A367" s="13">
        <v>77187</v>
      </c>
      <c r="B367" s="14">
        <v>46198</v>
      </c>
      <c r="C367" s="15" t="s">
        <v>6</v>
      </c>
      <c r="D367" s="15" t="s">
        <v>7</v>
      </c>
      <c r="E367" s="15" t="s">
        <v>11</v>
      </c>
      <c r="F367" s="16">
        <v>5000000</v>
      </c>
      <c r="G367" s="16">
        <f>F367*$G$1</f>
        <v>3500000</v>
      </c>
      <c r="H367" s="17" t="s">
        <v>210</v>
      </c>
    </row>
    <row r="368" spans="1:8" ht="24.95" customHeight="1" x14ac:dyDescent="0.4">
      <c r="A368" s="13">
        <v>77283</v>
      </c>
      <c r="B368" s="14">
        <v>46212</v>
      </c>
      <c r="C368" s="15" t="s">
        <v>6</v>
      </c>
      <c r="D368" s="15" t="s">
        <v>7</v>
      </c>
      <c r="E368" s="15" t="s">
        <v>11</v>
      </c>
      <c r="F368" s="16">
        <v>19357000</v>
      </c>
      <c r="G368" s="16">
        <f>F368*$G$1</f>
        <v>13549900</v>
      </c>
      <c r="H368" s="17" t="s">
        <v>230</v>
      </c>
    </row>
    <row r="369" spans="1:8" ht="24.95" customHeight="1" x14ac:dyDescent="0.4">
      <c r="A369" s="13">
        <v>77300</v>
      </c>
      <c r="B369" s="14">
        <v>46203</v>
      </c>
      <c r="C369" s="15" t="s">
        <v>6</v>
      </c>
      <c r="D369" s="15" t="s">
        <v>7</v>
      </c>
      <c r="E369" s="15" t="s">
        <v>11</v>
      </c>
      <c r="F369" s="16">
        <v>38691000</v>
      </c>
      <c r="G369" s="16">
        <f>F369*$G$1</f>
        <v>27083700</v>
      </c>
      <c r="H369" s="17" t="s">
        <v>233</v>
      </c>
    </row>
    <row r="370" spans="1:8" ht="24.95" customHeight="1" x14ac:dyDescent="0.4">
      <c r="A370" s="13">
        <v>77456</v>
      </c>
      <c r="B370" s="14">
        <v>46196</v>
      </c>
      <c r="C370" s="15" t="s">
        <v>6</v>
      </c>
      <c r="D370" s="15" t="s">
        <v>7</v>
      </c>
      <c r="E370" s="15" t="s">
        <v>11</v>
      </c>
      <c r="F370" s="16">
        <v>18905000</v>
      </c>
      <c r="G370" s="16">
        <f>F370*$G$1</f>
        <v>13233500</v>
      </c>
      <c r="H370" s="17" t="s">
        <v>265</v>
      </c>
    </row>
    <row r="371" spans="1:8" ht="24.95" customHeight="1" x14ac:dyDescent="0.4">
      <c r="A371" s="13">
        <v>77484</v>
      </c>
      <c r="B371" s="14">
        <v>46203</v>
      </c>
      <c r="C371" s="15" t="s">
        <v>6</v>
      </c>
      <c r="D371" s="15" t="s">
        <v>7</v>
      </c>
      <c r="E371" s="15" t="s">
        <v>11</v>
      </c>
      <c r="F371" s="16">
        <v>60187680</v>
      </c>
      <c r="G371" s="16">
        <f>F371*$G$1</f>
        <v>42131376</v>
      </c>
      <c r="H371" s="17" t="s">
        <v>273</v>
      </c>
    </row>
    <row r="372" spans="1:8" ht="24.95" customHeight="1" x14ac:dyDescent="0.4">
      <c r="A372" s="13">
        <v>77717</v>
      </c>
      <c r="B372" s="14">
        <v>46203</v>
      </c>
      <c r="C372" s="15" t="s">
        <v>6</v>
      </c>
      <c r="D372" s="15" t="s">
        <v>7</v>
      </c>
      <c r="E372" s="15" t="s">
        <v>11</v>
      </c>
      <c r="F372" s="16">
        <v>14342000</v>
      </c>
      <c r="G372" s="16">
        <f>F372*$G$1</f>
        <v>10039400</v>
      </c>
      <c r="H372" s="17" t="s">
        <v>350</v>
      </c>
    </row>
    <row r="373" spans="1:8" ht="24.95" customHeight="1" x14ac:dyDescent="0.4">
      <c r="A373" s="13">
        <v>77752</v>
      </c>
      <c r="B373" s="14">
        <v>46212</v>
      </c>
      <c r="C373" s="15" t="s">
        <v>6</v>
      </c>
      <c r="D373" s="15" t="s">
        <v>7</v>
      </c>
      <c r="E373" s="15" t="s">
        <v>11</v>
      </c>
      <c r="F373" s="16">
        <v>28625000</v>
      </c>
      <c r="G373" s="16">
        <f>F373*$G$1</f>
        <v>20037500</v>
      </c>
      <c r="H373" s="17" t="s">
        <v>353</v>
      </c>
    </row>
    <row r="374" spans="1:8" ht="24.95" customHeight="1" x14ac:dyDescent="0.4">
      <c r="A374" s="13">
        <v>77758</v>
      </c>
      <c r="B374" s="14">
        <v>46209</v>
      </c>
      <c r="C374" s="15" t="s">
        <v>6</v>
      </c>
      <c r="D374" s="15" t="s">
        <v>7</v>
      </c>
      <c r="E374" s="15" t="s">
        <v>11</v>
      </c>
      <c r="F374" s="16">
        <v>23828000</v>
      </c>
      <c r="G374" s="16">
        <f>F374*$G$1</f>
        <v>16679599.999999998</v>
      </c>
      <c r="H374" s="17" t="s">
        <v>354</v>
      </c>
    </row>
    <row r="375" spans="1:8" ht="24.95" customHeight="1" x14ac:dyDescent="0.4">
      <c r="A375" s="13">
        <v>77012</v>
      </c>
      <c r="B375" s="14">
        <v>46191</v>
      </c>
      <c r="C375" s="15" t="s">
        <v>89</v>
      </c>
      <c r="D375" s="15" t="s">
        <v>7</v>
      </c>
      <c r="E375" s="15" t="s">
        <v>176</v>
      </c>
      <c r="F375" s="16">
        <v>399034222</v>
      </c>
      <c r="G375" s="16">
        <f>F375*$G$1</f>
        <v>279323955.39999998</v>
      </c>
      <c r="H375" s="17"/>
    </row>
    <row r="376" spans="1:8" ht="24.95" customHeight="1" x14ac:dyDescent="0.4">
      <c r="A376" s="13">
        <v>77718</v>
      </c>
      <c r="B376" s="14">
        <v>46231</v>
      </c>
      <c r="C376" s="15" t="s">
        <v>89</v>
      </c>
      <c r="D376" s="15" t="s">
        <v>7</v>
      </c>
      <c r="E376" s="15" t="s">
        <v>8</v>
      </c>
      <c r="F376" s="16">
        <v>215484240</v>
      </c>
      <c r="G376" s="16">
        <f>F376*$G$1</f>
        <v>150838968</v>
      </c>
      <c r="H376" s="17"/>
    </row>
    <row r="377" spans="1:8" ht="24.95" customHeight="1" x14ac:dyDescent="0.4">
      <c r="A377" s="13">
        <v>76125</v>
      </c>
      <c r="B377" s="14">
        <v>46191</v>
      </c>
      <c r="C377" s="15" t="s">
        <v>89</v>
      </c>
      <c r="D377" s="15" t="s">
        <v>7</v>
      </c>
      <c r="E377" s="15" t="s">
        <v>10</v>
      </c>
      <c r="F377" s="16">
        <v>2440350000</v>
      </c>
      <c r="G377" s="16">
        <f>F377*$G$1</f>
        <v>1708245000</v>
      </c>
      <c r="H377" s="17"/>
    </row>
    <row r="378" spans="1:8" ht="24.95" customHeight="1" x14ac:dyDescent="0.4">
      <c r="A378" s="13">
        <v>77618</v>
      </c>
      <c r="B378" s="14">
        <v>46219</v>
      </c>
      <c r="C378" s="15" t="s">
        <v>314</v>
      </c>
      <c r="D378" s="15" t="s">
        <v>7</v>
      </c>
      <c r="E378" s="15" t="s">
        <v>15</v>
      </c>
      <c r="F378" s="16">
        <v>411207000</v>
      </c>
      <c r="G378" s="16">
        <f>F378*$G$1</f>
        <v>287844900</v>
      </c>
      <c r="H378" s="17"/>
    </row>
    <row r="379" spans="1:8" ht="24.95" customHeight="1" x14ac:dyDescent="0.4">
      <c r="A379" s="13">
        <v>77468</v>
      </c>
      <c r="B379" s="14">
        <v>46199</v>
      </c>
      <c r="C379" s="15" t="s">
        <v>81</v>
      </c>
      <c r="D379" s="15" t="s">
        <v>7</v>
      </c>
      <c r="E379" s="15" t="s">
        <v>15</v>
      </c>
      <c r="F379" s="16">
        <v>589685111.85000002</v>
      </c>
      <c r="G379" s="16">
        <f>F379*$G$1</f>
        <v>412779578.29500002</v>
      </c>
      <c r="H379" s="17"/>
    </row>
    <row r="380" spans="1:8" ht="24.95" customHeight="1" x14ac:dyDescent="0.4">
      <c r="A380" s="13">
        <v>77496</v>
      </c>
      <c r="B380" s="14">
        <v>46199</v>
      </c>
      <c r="C380" s="15" t="s">
        <v>81</v>
      </c>
      <c r="D380" s="15" t="s">
        <v>7</v>
      </c>
      <c r="E380" s="15" t="s">
        <v>15</v>
      </c>
      <c r="F380" s="16">
        <v>1598182720</v>
      </c>
      <c r="G380" s="16">
        <f>F380*$G$1</f>
        <v>1118727904</v>
      </c>
      <c r="H380" s="17"/>
    </row>
    <row r="381" spans="1:8" ht="24.95" customHeight="1" x14ac:dyDescent="0.4">
      <c r="A381" s="13">
        <v>77556</v>
      </c>
      <c r="B381" s="14">
        <v>46227</v>
      </c>
      <c r="C381" s="15" t="s">
        <v>81</v>
      </c>
      <c r="D381" s="15" t="s">
        <v>7</v>
      </c>
      <c r="E381" s="15" t="s">
        <v>15</v>
      </c>
      <c r="F381" s="16">
        <v>219988500</v>
      </c>
      <c r="G381" s="16">
        <f>F381*$G$1</f>
        <v>153991950</v>
      </c>
      <c r="H381" s="17"/>
    </row>
    <row r="382" spans="1:8" ht="24.95" customHeight="1" x14ac:dyDescent="0.4">
      <c r="A382" s="13">
        <v>77803</v>
      </c>
      <c r="B382" s="14">
        <v>46206</v>
      </c>
      <c r="C382" s="15" t="s">
        <v>81</v>
      </c>
      <c r="D382" s="15" t="s">
        <v>7</v>
      </c>
      <c r="E382" s="15" t="s">
        <v>367</v>
      </c>
      <c r="F382" s="16">
        <v>13550000000</v>
      </c>
      <c r="G382" s="16">
        <f>F382*$G$1</f>
        <v>9485000000</v>
      </c>
      <c r="H382" s="17"/>
    </row>
    <row r="383" spans="1:8" ht="24.95" customHeight="1" x14ac:dyDescent="0.4">
      <c r="A383" s="13">
        <v>77319</v>
      </c>
      <c r="B383" s="14">
        <v>46199</v>
      </c>
      <c r="C383" s="15" t="s">
        <v>81</v>
      </c>
      <c r="D383" s="15" t="s">
        <v>7</v>
      </c>
      <c r="E383" s="15" t="s">
        <v>14</v>
      </c>
      <c r="F383" s="16">
        <v>262039500</v>
      </c>
      <c r="G383" s="16">
        <f>F383*$G$1</f>
        <v>183427650</v>
      </c>
      <c r="H383" s="17"/>
    </row>
    <row r="384" spans="1:8" ht="24.95" customHeight="1" x14ac:dyDescent="0.4">
      <c r="A384" s="13">
        <v>77063</v>
      </c>
      <c r="B384" s="14">
        <v>46226</v>
      </c>
      <c r="C384" s="15" t="s">
        <v>81</v>
      </c>
      <c r="D384" s="15" t="s">
        <v>7</v>
      </c>
      <c r="E384" s="15" t="s">
        <v>10</v>
      </c>
      <c r="F384" s="16">
        <v>2108694800</v>
      </c>
      <c r="G384" s="16">
        <f>F384*$G$1</f>
        <v>1476086360</v>
      </c>
      <c r="H384" s="17"/>
    </row>
    <row r="385" spans="1:8" ht="24.95" customHeight="1" x14ac:dyDescent="0.4">
      <c r="A385" s="13">
        <v>77021</v>
      </c>
      <c r="B385" s="14">
        <v>46210</v>
      </c>
      <c r="C385" s="15" t="s">
        <v>178</v>
      </c>
      <c r="D385" s="15" t="s">
        <v>7</v>
      </c>
      <c r="E385" s="15" t="s">
        <v>8</v>
      </c>
      <c r="F385" s="16">
        <v>273774600</v>
      </c>
      <c r="G385" s="16">
        <f>F385*$G$1</f>
        <v>191642220</v>
      </c>
      <c r="H385" s="17"/>
    </row>
    <row r="386" spans="1:8" ht="24.95" customHeight="1" x14ac:dyDescent="0.4">
      <c r="A386" s="13">
        <v>77039</v>
      </c>
      <c r="B386" s="14">
        <v>46205</v>
      </c>
      <c r="C386" s="15" t="s">
        <v>182</v>
      </c>
      <c r="D386" s="15" t="s">
        <v>7</v>
      </c>
      <c r="E386" s="15" t="s">
        <v>8</v>
      </c>
      <c r="F386" s="16">
        <v>158728000</v>
      </c>
      <c r="G386" s="16">
        <f>F386*$G$1</f>
        <v>111109600</v>
      </c>
      <c r="H386" s="17"/>
    </row>
    <row r="387" spans="1:8" ht="24.95" customHeight="1" x14ac:dyDescent="0.4">
      <c r="A387" s="13">
        <v>77593</v>
      </c>
      <c r="B387" s="14">
        <v>46210</v>
      </c>
      <c r="C387" s="15" t="s">
        <v>304</v>
      </c>
      <c r="D387" s="15" t="s">
        <v>7</v>
      </c>
      <c r="E387" s="15" t="s">
        <v>14</v>
      </c>
      <c r="F387" s="16">
        <v>635562447.33000004</v>
      </c>
      <c r="G387" s="16">
        <f>F387*$G$1</f>
        <v>444893713.13099998</v>
      </c>
      <c r="H387" s="17"/>
    </row>
    <row r="388" spans="1:8" ht="24.95" customHeight="1" x14ac:dyDescent="0.4">
      <c r="A388" s="13">
        <v>77366</v>
      </c>
      <c r="B388" s="14">
        <v>46210</v>
      </c>
      <c r="C388" s="15" t="s">
        <v>248</v>
      </c>
      <c r="D388" s="15" t="s">
        <v>7</v>
      </c>
      <c r="E388" s="15" t="s">
        <v>208</v>
      </c>
      <c r="F388" s="16">
        <v>5155500</v>
      </c>
      <c r="G388" s="16">
        <f>F388*$G$1</f>
        <v>3608850</v>
      </c>
      <c r="H388" s="17"/>
    </row>
    <row r="389" spans="1:8" ht="24.95" customHeight="1" x14ac:dyDescent="0.4">
      <c r="A389" s="13">
        <v>77397</v>
      </c>
      <c r="B389" s="14">
        <v>46196</v>
      </c>
      <c r="C389" s="15" t="s">
        <v>248</v>
      </c>
      <c r="D389" s="15" t="s">
        <v>7</v>
      </c>
      <c r="E389" s="15" t="s">
        <v>14</v>
      </c>
      <c r="F389" s="16">
        <v>198554000</v>
      </c>
      <c r="G389" s="16">
        <f>F389*$G$1</f>
        <v>138987800</v>
      </c>
      <c r="H389" s="17"/>
    </row>
    <row r="390" spans="1:8" ht="24.95" customHeight="1" x14ac:dyDescent="0.4">
      <c r="A390" s="13">
        <v>76642</v>
      </c>
      <c r="B390" s="14">
        <v>46195</v>
      </c>
      <c r="C390" s="15" t="s">
        <v>39</v>
      </c>
      <c r="D390" s="15" t="s">
        <v>7</v>
      </c>
      <c r="E390" s="15" t="s">
        <v>8</v>
      </c>
      <c r="F390" s="16">
        <v>160308300</v>
      </c>
      <c r="G390" s="16">
        <f>F390*$G$1</f>
        <v>112215810</v>
      </c>
      <c r="H390" s="17"/>
    </row>
    <row r="391" spans="1:8" ht="24.95" customHeight="1" x14ac:dyDescent="0.4">
      <c r="A391" s="13">
        <v>77549</v>
      </c>
      <c r="B391" s="14">
        <v>46204</v>
      </c>
      <c r="C391" s="15" t="s">
        <v>39</v>
      </c>
      <c r="D391" s="15" t="s">
        <v>7</v>
      </c>
      <c r="E391" s="15" t="s">
        <v>14</v>
      </c>
      <c r="F391" s="16">
        <v>630254692</v>
      </c>
      <c r="G391" s="16">
        <v>630254692</v>
      </c>
      <c r="H391" s="17"/>
    </row>
    <row r="392" spans="1:8" ht="24.95" customHeight="1" x14ac:dyDescent="0.4">
      <c r="A392" s="13">
        <v>77184</v>
      </c>
      <c r="B392" s="14">
        <v>46192</v>
      </c>
      <c r="C392" s="15" t="s">
        <v>73</v>
      </c>
      <c r="D392" s="15" t="s">
        <v>7</v>
      </c>
      <c r="E392" s="15" t="s">
        <v>10</v>
      </c>
      <c r="F392" s="16">
        <v>156323000</v>
      </c>
      <c r="G392" s="16">
        <f>F392*$G$1</f>
        <v>109426100</v>
      </c>
      <c r="H392" s="17"/>
    </row>
    <row r="393" spans="1:8" ht="24.95" customHeight="1" x14ac:dyDescent="0.4">
      <c r="A393" s="13">
        <v>77364</v>
      </c>
      <c r="B393" s="14">
        <v>46196</v>
      </c>
      <c r="C393" s="15" t="s">
        <v>73</v>
      </c>
      <c r="D393" s="15" t="s">
        <v>7</v>
      </c>
      <c r="E393" s="15" t="s">
        <v>10</v>
      </c>
      <c r="F393" s="16">
        <v>1500000000</v>
      </c>
      <c r="G393" s="16">
        <f>F393*$G$1</f>
        <v>1049999999.9999999</v>
      </c>
      <c r="H393" s="17"/>
    </row>
    <row r="394" spans="1:8" ht="24.95" customHeight="1" x14ac:dyDescent="0.4">
      <c r="A394" s="13">
        <v>77303</v>
      </c>
      <c r="B394" s="14">
        <v>46195</v>
      </c>
      <c r="C394" s="15" t="s">
        <v>73</v>
      </c>
      <c r="D394" s="15" t="s">
        <v>7</v>
      </c>
      <c r="E394" s="15" t="s">
        <v>77</v>
      </c>
      <c r="F394" s="16">
        <v>1410000</v>
      </c>
      <c r="G394" s="16">
        <f>F394*$G$1</f>
        <v>986999.99999999988</v>
      </c>
      <c r="H394" s="17" t="s">
        <v>235</v>
      </c>
    </row>
    <row r="395" spans="1:8" ht="24.95" customHeight="1" x14ac:dyDescent="0.4">
      <c r="A395" s="13">
        <v>76862</v>
      </c>
      <c r="B395" s="14">
        <v>46191</v>
      </c>
      <c r="C395" s="15" t="s">
        <v>48</v>
      </c>
      <c r="D395" s="15" t="s">
        <v>7</v>
      </c>
      <c r="E395" s="15" t="s">
        <v>15</v>
      </c>
      <c r="F395" s="16">
        <v>144144900</v>
      </c>
      <c r="G395" s="16">
        <f>F395*$G$1</f>
        <v>100901430</v>
      </c>
      <c r="H395" s="17"/>
    </row>
    <row r="396" spans="1:8" ht="24.95" customHeight="1" x14ac:dyDescent="0.4">
      <c r="A396" s="13">
        <v>77077</v>
      </c>
      <c r="B396" s="14">
        <v>46197</v>
      </c>
      <c r="C396" s="15" t="s">
        <v>48</v>
      </c>
      <c r="D396" s="15" t="s">
        <v>7</v>
      </c>
      <c r="E396" s="15" t="s">
        <v>15</v>
      </c>
      <c r="F396" s="16">
        <v>134536000</v>
      </c>
      <c r="G396" s="16">
        <f>F396*$G$1</f>
        <v>94175200</v>
      </c>
      <c r="H396" s="17"/>
    </row>
    <row r="397" spans="1:8" ht="24.95" customHeight="1" x14ac:dyDescent="0.4">
      <c r="A397" s="13">
        <v>77036</v>
      </c>
      <c r="B397" s="14">
        <v>46198</v>
      </c>
      <c r="C397" s="15" t="s">
        <v>48</v>
      </c>
      <c r="D397" s="15" t="s">
        <v>7</v>
      </c>
      <c r="E397" s="15" t="s">
        <v>14</v>
      </c>
      <c r="F397" s="16">
        <v>434000000</v>
      </c>
      <c r="G397" s="16">
        <f>F397*$G$1</f>
        <v>303800000</v>
      </c>
      <c r="H397" s="17"/>
    </row>
    <row r="398" spans="1:8" ht="24.95" customHeight="1" x14ac:dyDescent="0.4">
      <c r="A398" s="13">
        <v>77188</v>
      </c>
      <c r="B398" s="14">
        <v>46198</v>
      </c>
      <c r="C398" s="15" t="s">
        <v>48</v>
      </c>
      <c r="D398" s="15" t="s">
        <v>7</v>
      </c>
      <c r="E398" s="15" t="s">
        <v>14</v>
      </c>
      <c r="F398" s="16">
        <v>620000000</v>
      </c>
      <c r="G398" s="16">
        <f>F398*$G$1</f>
        <v>434000000</v>
      </c>
      <c r="H398" s="17"/>
    </row>
    <row r="399" spans="1:8" ht="24.95" customHeight="1" x14ac:dyDescent="0.4">
      <c r="A399" s="13">
        <v>77586</v>
      </c>
      <c r="B399" s="14">
        <v>46211</v>
      </c>
      <c r="C399" s="15" t="s">
        <v>48</v>
      </c>
      <c r="D399" s="15" t="s">
        <v>7</v>
      </c>
      <c r="E399" s="15" t="s">
        <v>14</v>
      </c>
      <c r="F399" s="16">
        <v>5343274140</v>
      </c>
      <c r="G399" s="16">
        <f>F399*$G$1</f>
        <v>3740291898</v>
      </c>
      <c r="H399" s="17"/>
    </row>
    <row r="400" spans="1:8" ht="24.95" customHeight="1" x14ac:dyDescent="0.4">
      <c r="A400" s="13">
        <v>77619</v>
      </c>
      <c r="B400" s="14">
        <v>46219</v>
      </c>
      <c r="C400" s="15" t="s">
        <v>48</v>
      </c>
      <c r="D400" s="15" t="s">
        <v>7</v>
      </c>
      <c r="E400" s="15" t="s">
        <v>30</v>
      </c>
      <c r="F400" s="16">
        <v>60929900</v>
      </c>
      <c r="G400" s="16">
        <f>F400*$G$1</f>
        <v>42650930</v>
      </c>
      <c r="H400" s="17"/>
    </row>
    <row r="401" spans="1:8" ht="24.95" customHeight="1" x14ac:dyDescent="0.4">
      <c r="A401" s="13">
        <v>77738</v>
      </c>
      <c r="B401" s="14">
        <v>46210</v>
      </c>
      <c r="C401" s="15" t="s">
        <v>351</v>
      </c>
      <c r="D401" s="15" t="s">
        <v>7</v>
      </c>
      <c r="E401" s="15" t="s">
        <v>14</v>
      </c>
      <c r="F401" s="16">
        <v>341307000</v>
      </c>
      <c r="G401" s="16">
        <f>F401*$G$1</f>
        <v>238914899.99999997</v>
      </c>
      <c r="H401" s="17"/>
    </row>
    <row r="402" spans="1:8" ht="24.95" customHeight="1" x14ac:dyDescent="0.4">
      <c r="A402" s="13">
        <v>77594</v>
      </c>
      <c r="B402" s="14">
        <v>46212</v>
      </c>
      <c r="C402" s="15" t="s">
        <v>305</v>
      </c>
      <c r="D402" s="15" t="s">
        <v>7</v>
      </c>
      <c r="E402" s="15" t="s">
        <v>11</v>
      </c>
      <c r="F402" s="16">
        <v>28436000</v>
      </c>
      <c r="G402" s="16">
        <f>F402*$G$1</f>
        <v>19905200</v>
      </c>
      <c r="H402" s="17" t="s">
        <v>160</v>
      </c>
    </row>
    <row r="403" spans="1:8" ht="24.95" customHeight="1" x14ac:dyDescent="0.4">
      <c r="A403" s="13">
        <v>75885</v>
      </c>
      <c r="B403" s="14">
        <v>46265</v>
      </c>
      <c r="C403" s="15" t="s">
        <v>110</v>
      </c>
      <c r="D403" s="15" t="s">
        <v>7</v>
      </c>
      <c r="E403" s="15" t="s">
        <v>15</v>
      </c>
      <c r="F403" s="16">
        <v>174864000</v>
      </c>
      <c r="G403" s="16">
        <f>F403*$G$1</f>
        <v>122404799.99999999</v>
      </c>
      <c r="H403" s="17"/>
    </row>
    <row r="404" spans="1:8" ht="24.95" customHeight="1" x14ac:dyDescent="0.4">
      <c r="A404" s="13">
        <v>77499</v>
      </c>
      <c r="B404" s="14">
        <v>46199</v>
      </c>
      <c r="C404" s="15" t="s">
        <v>110</v>
      </c>
      <c r="D404" s="15" t="s">
        <v>7</v>
      </c>
      <c r="E404" s="15" t="s">
        <v>14</v>
      </c>
      <c r="F404" s="16">
        <v>181503000.81</v>
      </c>
      <c r="G404" s="16">
        <v>127052100.61</v>
      </c>
      <c r="H404" s="17"/>
    </row>
    <row r="405" spans="1:8" ht="24.95" customHeight="1" x14ac:dyDescent="0.4">
      <c r="A405" s="13">
        <v>77720</v>
      </c>
      <c r="B405" s="14">
        <v>46212</v>
      </c>
      <c r="C405" s="15" t="s">
        <v>110</v>
      </c>
      <c r="D405" s="15" t="s">
        <v>7</v>
      </c>
      <c r="E405" s="15" t="s">
        <v>14</v>
      </c>
      <c r="F405" s="16">
        <v>133447500</v>
      </c>
      <c r="G405" s="16">
        <f>F405*$G$1</f>
        <v>93413250</v>
      </c>
      <c r="H405" s="17"/>
    </row>
    <row r="406" spans="1:8" ht="24.95" customHeight="1" x14ac:dyDescent="0.4">
      <c r="A406" s="13">
        <v>77754</v>
      </c>
      <c r="B406" s="14">
        <v>46233</v>
      </c>
      <c r="C406" s="15" t="s">
        <v>110</v>
      </c>
      <c r="D406" s="15" t="s">
        <v>7</v>
      </c>
      <c r="E406" s="15" t="s">
        <v>10</v>
      </c>
      <c r="F406" s="16">
        <v>130000000</v>
      </c>
      <c r="G406" s="16">
        <v>130000000</v>
      </c>
      <c r="H406" s="17"/>
    </row>
    <row r="407" spans="1:8" ht="24.95" customHeight="1" x14ac:dyDescent="0.4">
      <c r="A407" s="13">
        <v>76989</v>
      </c>
      <c r="B407" s="14">
        <v>46219</v>
      </c>
      <c r="C407" s="15" t="s">
        <v>170</v>
      </c>
      <c r="D407" s="15" t="s">
        <v>7</v>
      </c>
      <c r="E407" s="15" t="s">
        <v>9</v>
      </c>
      <c r="F407" s="16">
        <v>334957000</v>
      </c>
      <c r="G407" s="16">
        <f>F407*$G$1</f>
        <v>234469900</v>
      </c>
      <c r="H407" s="17"/>
    </row>
    <row r="408" spans="1:8" ht="24.95" customHeight="1" x14ac:dyDescent="0.4">
      <c r="A408" s="13">
        <v>76318</v>
      </c>
      <c r="B408" s="14">
        <v>46209</v>
      </c>
      <c r="C408" s="15" t="s">
        <v>125</v>
      </c>
      <c r="D408" s="15" t="s">
        <v>7</v>
      </c>
      <c r="E408" s="15" t="s">
        <v>15</v>
      </c>
      <c r="F408" s="16">
        <v>223356530</v>
      </c>
      <c r="G408" s="16">
        <f>F408*$G$1</f>
        <v>156349571</v>
      </c>
      <c r="H408" s="17"/>
    </row>
    <row r="409" spans="1:8" ht="24.95" customHeight="1" x14ac:dyDescent="0.4">
      <c r="A409" s="13">
        <v>77561</v>
      </c>
      <c r="B409" s="14">
        <v>46197</v>
      </c>
      <c r="C409" s="15" t="s">
        <v>294</v>
      </c>
      <c r="D409" s="15" t="s">
        <v>7</v>
      </c>
      <c r="E409" s="15" t="s">
        <v>10</v>
      </c>
      <c r="F409" s="16">
        <v>168316440</v>
      </c>
      <c r="G409" s="16">
        <f>F409*$G$1</f>
        <v>117821507.99999999</v>
      </c>
      <c r="H409" s="17"/>
    </row>
    <row r="410" spans="1:8" ht="24.95" customHeight="1" x14ac:dyDescent="0.4">
      <c r="A410" s="13">
        <v>76887</v>
      </c>
      <c r="B410" s="14">
        <v>46282</v>
      </c>
      <c r="C410" s="15" t="s">
        <v>90</v>
      </c>
      <c r="D410" s="15" t="s">
        <v>7</v>
      </c>
      <c r="E410" s="15" t="s">
        <v>8</v>
      </c>
      <c r="F410" s="16">
        <v>166460000</v>
      </c>
      <c r="G410" s="16">
        <f>F410*$G$1</f>
        <v>116522000</v>
      </c>
      <c r="H410" s="17"/>
    </row>
    <row r="411" spans="1:8" ht="24.95" customHeight="1" x14ac:dyDescent="0.4">
      <c r="A411" s="13">
        <v>76521</v>
      </c>
      <c r="B411" s="14">
        <v>46226</v>
      </c>
      <c r="C411" s="15" t="s">
        <v>90</v>
      </c>
      <c r="D411" s="15" t="s">
        <v>7</v>
      </c>
      <c r="E411" s="15" t="s">
        <v>15</v>
      </c>
      <c r="F411" s="16">
        <v>130003320</v>
      </c>
      <c r="G411" s="16">
        <f>F411*$G$1</f>
        <v>91002324</v>
      </c>
      <c r="H411" s="17"/>
    </row>
    <row r="412" spans="1:8" ht="24.95" customHeight="1" x14ac:dyDescent="0.4">
      <c r="A412" s="13">
        <v>76865</v>
      </c>
      <c r="B412" s="14">
        <v>46198</v>
      </c>
      <c r="C412" s="15" t="s">
        <v>90</v>
      </c>
      <c r="D412" s="15" t="s">
        <v>7</v>
      </c>
      <c r="E412" s="15" t="s">
        <v>14</v>
      </c>
      <c r="F412" s="16">
        <v>165220200</v>
      </c>
      <c r="G412" s="16">
        <f>F412*$G$1</f>
        <v>115654140</v>
      </c>
      <c r="H412" s="17"/>
    </row>
    <row r="413" spans="1:8" ht="24.95" customHeight="1" x14ac:dyDescent="0.4">
      <c r="A413" s="13">
        <v>75886</v>
      </c>
      <c r="B413" s="14">
        <v>46247</v>
      </c>
      <c r="C413" s="15" t="s">
        <v>111</v>
      </c>
      <c r="D413" s="15" t="s">
        <v>7</v>
      </c>
      <c r="E413" s="15" t="s">
        <v>8</v>
      </c>
      <c r="F413" s="16">
        <v>39475500</v>
      </c>
      <c r="G413" s="16">
        <f>F413*$G$1</f>
        <v>27632850</v>
      </c>
      <c r="H413" s="17"/>
    </row>
    <row r="414" spans="1:8" ht="24.95" customHeight="1" x14ac:dyDescent="0.4">
      <c r="A414" s="13">
        <v>77576</v>
      </c>
      <c r="B414" s="14">
        <v>46204</v>
      </c>
      <c r="C414" s="15" t="s">
        <v>267</v>
      </c>
      <c r="D414" s="15" t="s">
        <v>7</v>
      </c>
      <c r="E414" s="15" t="s">
        <v>301</v>
      </c>
      <c r="F414" s="16">
        <v>698540868.41999996</v>
      </c>
      <c r="G414" s="16">
        <f>F414*$G$1</f>
        <v>488978607.89399993</v>
      </c>
      <c r="H414" s="17"/>
    </row>
    <row r="415" spans="1:8" ht="24.95" customHeight="1" x14ac:dyDescent="0.4">
      <c r="A415" s="13">
        <v>77464</v>
      </c>
      <c r="B415" s="14">
        <v>46198</v>
      </c>
      <c r="C415" s="15" t="s">
        <v>267</v>
      </c>
      <c r="D415" s="15" t="s">
        <v>7</v>
      </c>
      <c r="E415" s="15" t="s">
        <v>15</v>
      </c>
      <c r="F415" s="16">
        <v>333147994</v>
      </c>
      <c r="G415" s="16">
        <v>233203595.08000001</v>
      </c>
      <c r="H415" s="17"/>
    </row>
    <row r="416" spans="1:8" ht="24.95" customHeight="1" x14ac:dyDescent="0.4">
      <c r="A416" s="13">
        <v>77763</v>
      </c>
      <c r="B416" s="14">
        <v>46209</v>
      </c>
      <c r="C416" s="15" t="s">
        <v>35</v>
      </c>
      <c r="D416" s="15" t="s">
        <v>7</v>
      </c>
      <c r="E416" s="15" t="s">
        <v>14</v>
      </c>
      <c r="F416" s="16">
        <v>460000000</v>
      </c>
      <c r="G416" s="16">
        <f>F416*$G$1</f>
        <v>322000000</v>
      </c>
      <c r="H416" s="17"/>
    </row>
    <row r="417" spans="1:8" ht="24.95" customHeight="1" x14ac:dyDescent="0.4">
      <c r="A417" s="13">
        <v>77571</v>
      </c>
      <c r="B417" s="14">
        <v>46226</v>
      </c>
      <c r="C417" s="15" t="s">
        <v>139</v>
      </c>
      <c r="D417" s="15" t="s">
        <v>7</v>
      </c>
      <c r="E417" s="15" t="s">
        <v>9</v>
      </c>
      <c r="F417" s="16">
        <v>123778687</v>
      </c>
      <c r="G417" s="16">
        <f>F417*$G$1</f>
        <v>86645080.899999991</v>
      </c>
      <c r="H417" s="17"/>
    </row>
    <row r="418" spans="1:8" ht="24.95" customHeight="1" x14ac:dyDescent="0.4">
      <c r="A418" s="13">
        <v>77365</v>
      </c>
      <c r="B418" s="14">
        <v>46198</v>
      </c>
      <c r="C418" s="15" t="s">
        <v>247</v>
      </c>
      <c r="D418" s="15" t="s">
        <v>7</v>
      </c>
      <c r="E418" s="15" t="s">
        <v>14</v>
      </c>
      <c r="F418" s="16">
        <v>686335533</v>
      </c>
      <c r="G418" s="16">
        <v>686335533</v>
      </c>
      <c r="H418" s="17"/>
    </row>
    <row r="419" spans="1:8" ht="24.95" customHeight="1" x14ac:dyDescent="0.4">
      <c r="A419" s="13">
        <v>77180</v>
      </c>
      <c r="B419" s="14">
        <v>46191</v>
      </c>
      <c r="C419" s="15" t="s">
        <v>142</v>
      </c>
      <c r="D419" s="15" t="s">
        <v>7</v>
      </c>
      <c r="E419" s="15" t="s">
        <v>15</v>
      </c>
      <c r="F419" s="16">
        <v>186946500</v>
      </c>
      <c r="G419" s="16">
        <f>F419*$G$1</f>
        <v>130862549.99999999</v>
      </c>
      <c r="H419" s="17"/>
    </row>
    <row r="420" spans="1:8" ht="24.95" customHeight="1" x14ac:dyDescent="0.4">
      <c r="A420" s="13">
        <v>77181</v>
      </c>
      <c r="B420" s="14">
        <v>46191</v>
      </c>
      <c r="C420" s="15" t="s">
        <v>142</v>
      </c>
      <c r="D420" s="15" t="s">
        <v>7</v>
      </c>
      <c r="E420" s="15" t="s">
        <v>15</v>
      </c>
      <c r="F420" s="16">
        <v>184135500</v>
      </c>
      <c r="G420" s="16">
        <f>F420*$G$1</f>
        <v>128894849.99999999</v>
      </c>
      <c r="H420" s="17"/>
    </row>
    <row r="421" spans="1:8" ht="24.95" customHeight="1" x14ac:dyDescent="0.4">
      <c r="A421" s="13">
        <v>77589</v>
      </c>
      <c r="B421" s="14">
        <v>46212</v>
      </c>
      <c r="C421" s="15" t="s">
        <v>303</v>
      </c>
      <c r="D421" s="15" t="s">
        <v>7</v>
      </c>
      <c r="E421" s="15" t="s">
        <v>10</v>
      </c>
      <c r="F421" s="16">
        <v>421143020</v>
      </c>
      <c r="G421" s="16">
        <f>F421*$G$1</f>
        <v>294800114</v>
      </c>
      <c r="H421" s="17"/>
    </row>
    <row r="422" spans="1:8" ht="24.95" customHeight="1" x14ac:dyDescent="0.4">
      <c r="A422" s="13">
        <v>77701</v>
      </c>
      <c r="B422" s="14">
        <v>46205</v>
      </c>
      <c r="C422" s="15" t="s">
        <v>13</v>
      </c>
      <c r="D422" s="15" t="s">
        <v>7</v>
      </c>
      <c r="E422" s="15" t="s">
        <v>344</v>
      </c>
      <c r="F422" s="16">
        <v>15074470</v>
      </c>
      <c r="G422" s="16">
        <f>F422*$G$1</f>
        <v>10552129</v>
      </c>
      <c r="H422" s="17"/>
    </row>
    <row r="423" spans="1:8" ht="24.95" customHeight="1" x14ac:dyDescent="0.4">
      <c r="A423" s="13">
        <v>75808</v>
      </c>
      <c r="B423" s="14">
        <v>46197</v>
      </c>
      <c r="C423" s="15" t="s">
        <v>13</v>
      </c>
      <c r="D423" s="15" t="s">
        <v>7</v>
      </c>
      <c r="E423" s="15" t="s">
        <v>8</v>
      </c>
      <c r="F423" s="16">
        <v>120496500</v>
      </c>
      <c r="G423" s="16">
        <f>F423*$G$1</f>
        <v>84347550</v>
      </c>
      <c r="H423" s="17"/>
    </row>
    <row r="424" spans="1:8" ht="24.95" customHeight="1" x14ac:dyDescent="0.4">
      <c r="A424" s="13">
        <v>76021</v>
      </c>
      <c r="B424" s="14">
        <v>46210</v>
      </c>
      <c r="C424" s="15" t="s">
        <v>13</v>
      </c>
      <c r="D424" s="15" t="s">
        <v>7</v>
      </c>
      <c r="E424" s="15" t="s">
        <v>8</v>
      </c>
      <c r="F424" s="16">
        <v>117423000</v>
      </c>
      <c r="G424" s="16">
        <f>F424*$G$1</f>
        <v>82196100</v>
      </c>
      <c r="H424" s="17"/>
    </row>
    <row r="425" spans="1:8" ht="24.95" customHeight="1" x14ac:dyDescent="0.4">
      <c r="A425" s="13">
        <v>76468</v>
      </c>
      <c r="B425" s="14">
        <v>46310</v>
      </c>
      <c r="C425" s="15" t="s">
        <v>13</v>
      </c>
      <c r="D425" s="15" t="s">
        <v>7</v>
      </c>
      <c r="E425" s="15" t="s">
        <v>8</v>
      </c>
      <c r="F425" s="16">
        <v>145428000</v>
      </c>
      <c r="G425" s="16">
        <f>F425*$G$1</f>
        <v>101799600</v>
      </c>
      <c r="H425" s="17"/>
    </row>
    <row r="426" spans="1:8" ht="24.95" customHeight="1" x14ac:dyDescent="0.4">
      <c r="A426" s="13">
        <v>76861</v>
      </c>
      <c r="B426" s="14">
        <v>46191</v>
      </c>
      <c r="C426" s="15" t="s">
        <v>13</v>
      </c>
      <c r="D426" s="15" t="s">
        <v>7</v>
      </c>
      <c r="E426" s="15" t="s">
        <v>8</v>
      </c>
      <c r="F426" s="16">
        <v>85491000</v>
      </c>
      <c r="G426" s="16">
        <f>F426*$G$1</f>
        <v>59843699.999999993</v>
      </c>
      <c r="H426" s="17"/>
    </row>
    <row r="427" spans="1:8" ht="24.95" customHeight="1" x14ac:dyDescent="0.4">
      <c r="A427" s="13">
        <v>76864</v>
      </c>
      <c r="B427" s="14">
        <v>46196</v>
      </c>
      <c r="C427" s="15" t="s">
        <v>13</v>
      </c>
      <c r="D427" s="15" t="s">
        <v>7</v>
      </c>
      <c r="E427" s="15" t="s">
        <v>8</v>
      </c>
      <c r="F427" s="16">
        <v>137079000</v>
      </c>
      <c r="G427" s="16">
        <f>F427*$G$1</f>
        <v>95955300</v>
      </c>
      <c r="H427" s="17"/>
    </row>
    <row r="428" spans="1:8" ht="24.95" customHeight="1" x14ac:dyDescent="0.4">
      <c r="A428" s="13">
        <v>76888</v>
      </c>
      <c r="B428" s="14">
        <v>46203</v>
      </c>
      <c r="C428" s="15" t="s">
        <v>13</v>
      </c>
      <c r="D428" s="15" t="s">
        <v>7</v>
      </c>
      <c r="E428" s="15" t="s">
        <v>8</v>
      </c>
      <c r="F428" s="16">
        <v>135291000</v>
      </c>
      <c r="G428" s="16">
        <f>F428*$G$1</f>
        <v>94703700</v>
      </c>
      <c r="H428" s="17"/>
    </row>
    <row r="429" spans="1:8" ht="24.95" customHeight="1" x14ac:dyDescent="0.4">
      <c r="A429" s="13">
        <v>77019</v>
      </c>
      <c r="B429" s="14">
        <v>46196</v>
      </c>
      <c r="C429" s="15" t="s">
        <v>13</v>
      </c>
      <c r="D429" s="15" t="s">
        <v>7</v>
      </c>
      <c r="E429" s="15" t="s">
        <v>8</v>
      </c>
      <c r="F429" s="16">
        <v>128835000</v>
      </c>
      <c r="G429" s="16">
        <f>F429*$G$1</f>
        <v>90184500</v>
      </c>
      <c r="H429" s="17"/>
    </row>
    <row r="430" spans="1:8" ht="24.95" customHeight="1" x14ac:dyDescent="0.4">
      <c r="A430" s="13">
        <v>77038</v>
      </c>
      <c r="B430" s="14">
        <v>46191</v>
      </c>
      <c r="C430" s="15" t="s">
        <v>13</v>
      </c>
      <c r="D430" s="15" t="s">
        <v>7</v>
      </c>
      <c r="E430" s="15" t="s">
        <v>8</v>
      </c>
      <c r="F430" s="16">
        <v>111366000</v>
      </c>
      <c r="G430" s="16">
        <f>F430*$G$1</f>
        <v>77956200</v>
      </c>
      <c r="H430" s="17"/>
    </row>
    <row r="431" spans="1:8" ht="24.95" customHeight="1" x14ac:dyDescent="0.4">
      <c r="A431" s="13">
        <v>77182</v>
      </c>
      <c r="B431" s="14">
        <v>46191</v>
      </c>
      <c r="C431" s="15" t="s">
        <v>13</v>
      </c>
      <c r="D431" s="15" t="s">
        <v>7</v>
      </c>
      <c r="E431" s="15" t="s">
        <v>8</v>
      </c>
      <c r="F431" s="16">
        <v>279750000</v>
      </c>
      <c r="G431" s="16">
        <f>F431*$G$1</f>
        <v>195825000</v>
      </c>
      <c r="H431" s="17"/>
    </row>
    <row r="432" spans="1:8" ht="24.95" customHeight="1" x14ac:dyDescent="0.4">
      <c r="A432" s="13">
        <v>77314</v>
      </c>
      <c r="B432" s="14">
        <v>46198</v>
      </c>
      <c r="C432" s="15" t="s">
        <v>13</v>
      </c>
      <c r="D432" s="15" t="s">
        <v>7</v>
      </c>
      <c r="E432" s="15" t="s">
        <v>8</v>
      </c>
      <c r="F432" s="16">
        <v>139350000</v>
      </c>
      <c r="G432" s="16">
        <f>F432*$G$1</f>
        <v>97545000</v>
      </c>
      <c r="H432" s="17"/>
    </row>
    <row r="433" spans="1:8" ht="24.95" customHeight="1" x14ac:dyDescent="0.4">
      <c r="A433" s="13">
        <v>77316</v>
      </c>
      <c r="B433" s="14">
        <v>46197</v>
      </c>
      <c r="C433" s="15" t="s">
        <v>13</v>
      </c>
      <c r="D433" s="15" t="s">
        <v>7</v>
      </c>
      <c r="E433" s="15" t="s">
        <v>8</v>
      </c>
      <c r="F433" s="16">
        <v>126321000</v>
      </c>
      <c r="G433" s="16">
        <f>F433*$G$1</f>
        <v>88424700</v>
      </c>
      <c r="H433" s="17"/>
    </row>
    <row r="434" spans="1:8" ht="24.95" customHeight="1" x14ac:dyDescent="0.4">
      <c r="A434" s="13">
        <v>77472</v>
      </c>
      <c r="B434" s="14">
        <v>46211</v>
      </c>
      <c r="C434" s="15" t="s">
        <v>13</v>
      </c>
      <c r="D434" s="15" t="s">
        <v>7</v>
      </c>
      <c r="E434" s="15" t="s">
        <v>8</v>
      </c>
      <c r="F434" s="16">
        <v>120295500</v>
      </c>
      <c r="G434" s="16">
        <f>F434*$G$1</f>
        <v>84206850</v>
      </c>
      <c r="H434" s="17"/>
    </row>
    <row r="435" spans="1:8" ht="24.95" customHeight="1" x14ac:dyDescent="0.4">
      <c r="A435" s="13">
        <v>77473</v>
      </c>
      <c r="B435" s="14">
        <v>46210</v>
      </c>
      <c r="C435" s="15" t="s">
        <v>13</v>
      </c>
      <c r="D435" s="15" t="s">
        <v>7</v>
      </c>
      <c r="E435" s="15" t="s">
        <v>8</v>
      </c>
      <c r="F435" s="16">
        <v>123351000</v>
      </c>
      <c r="G435" s="16">
        <f>F435*$G$1</f>
        <v>86345700</v>
      </c>
      <c r="H435" s="17"/>
    </row>
    <row r="436" spans="1:8" ht="24.95" customHeight="1" x14ac:dyDescent="0.4">
      <c r="A436" s="13">
        <v>77491</v>
      </c>
      <c r="B436" s="14">
        <v>46211</v>
      </c>
      <c r="C436" s="15" t="s">
        <v>13</v>
      </c>
      <c r="D436" s="15" t="s">
        <v>7</v>
      </c>
      <c r="E436" s="15" t="s">
        <v>8</v>
      </c>
      <c r="F436" s="16">
        <v>99555000</v>
      </c>
      <c r="G436" s="16">
        <f>F436*$G$1</f>
        <v>69688500</v>
      </c>
      <c r="H436" s="17"/>
    </row>
    <row r="437" spans="1:8" ht="24.95" customHeight="1" x14ac:dyDescent="0.4">
      <c r="A437" s="13">
        <v>77506</v>
      </c>
      <c r="B437" s="14">
        <v>46198</v>
      </c>
      <c r="C437" s="15" t="s">
        <v>13</v>
      </c>
      <c r="D437" s="15" t="s">
        <v>7</v>
      </c>
      <c r="E437" s="15" t="s">
        <v>8</v>
      </c>
      <c r="F437" s="16">
        <v>103080000</v>
      </c>
      <c r="G437" s="16">
        <f>F437*$G$1</f>
        <v>72156000</v>
      </c>
      <c r="H437" s="17"/>
    </row>
    <row r="438" spans="1:8" ht="24.95" customHeight="1" x14ac:dyDescent="0.4">
      <c r="A438" s="13">
        <v>77563</v>
      </c>
      <c r="B438" s="14">
        <v>46217</v>
      </c>
      <c r="C438" s="15" t="s">
        <v>13</v>
      </c>
      <c r="D438" s="15" t="s">
        <v>7</v>
      </c>
      <c r="E438" s="15" t="s">
        <v>8</v>
      </c>
      <c r="F438" s="16">
        <v>228124000</v>
      </c>
      <c r="G438" s="16">
        <f>F438*$G$1</f>
        <v>159686800</v>
      </c>
      <c r="H438" s="17"/>
    </row>
    <row r="439" spans="1:8" ht="24.95" customHeight="1" x14ac:dyDescent="0.4">
      <c r="A439" s="13">
        <v>77565</v>
      </c>
      <c r="B439" s="14">
        <v>46218</v>
      </c>
      <c r="C439" s="15" t="s">
        <v>13</v>
      </c>
      <c r="D439" s="15" t="s">
        <v>7</v>
      </c>
      <c r="E439" s="15" t="s">
        <v>8</v>
      </c>
      <c r="F439" s="16">
        <v>118592430</v>
      </c>
      <c r="G439" s="16">
        <f>F439*$G$1</f>
        <v>83014701</v>
      </c>
      <c r="H439" s="17"/>
    </row>
    <row r="440" spans="1:8" ht="24.95" customHeight="1" x14ac:dyDescent="0.4">
      <c r="A440" s="13">
        <v>77575</v>
      </c>
      <c r="B440" s="14">
        <v>46191</v>
      </c>
      <c r="C440" s="15" t="s">
        <v>13</v>
      </c>
      <c r="D440" s="15" t="s">
        <v>7</v>
      </c>
      <c r="E440" s="15" t="s">
        <v>8</v>
      </c>
      <c r="F440" s="16">
        <v>137600000</v>
      </c>
      <c r="G440" s="16">
        <f>F440*$G$1</f>
        <v>96320000</v>
      </c>
      <c r="H440" s="17"/>
    </row>
    <row r="441" spans="1:8" ht="24.95" customHeight="1" x14ac:dyDescent="0.4">
      <c r="A441" s="13">
        <v>77585</v>
      </c>
      <c r="B441" s="14">
        <v>46211</v>
      </c>
      <c r="C441" s="15" t="s">
        <v>13</v>
      </c>
      <c r="D441" s="15" t="s">
        <v>7</v>
      </c>
      <c r="E441" s="15" t="s">
        <v>8</v>
      </c>
      <c r="F441" s="16">
        <v>156256500</v>
      </c>
      <c r="G441" s="16">
        <f>F441*$G$1</f>
        <v>109379550</v>
      </c>
      <c r="H441" s="17"/>
    </row>
    <row r="442" spans="1:8" ht="24.95" customHeight="1" x14ac:dyDescent="0.4">
      <c r="A442" s="13">
        <v>77724</v>
      </c>
      <c r="B442" s="14">
        <v>46205</v>
      </c>
      <c r="C442" s="15" t="s">
        <v>13</v>
      </c>
      <c r="D442" s="15" t="s">
        <v>7</v>
      </c>
      <c r="E442" s="15" t="s">
        <v>8</v>
      </c>
      <c r="F442" s="16">
        <v>120864000</v>
      </c>
      <c r="G442" s="16">
        <f>F442*$G$1</f>
        <v>84604800</v>
      </c>
      <c r="H442" s="17"/>
    </row>
    <row r="443" spans="1:8" ht="24.95" customHeight="1" x14ac:dyDescent="0.4">
      <c r="A443" s="13">
        <v>77733</v>
      </c>
      <c r="B443" s="14">
        <v>46219</v>
      </c>
      <c r="C443" s="15" t="s">
        <v>13</v>
      </c>
      <c r="D443" s="15" t="s">
        <v>7</v>
      </c>
      <c r="E443" s="15" t="s">
        <v>8</v>
      </c>
      <c r="F443" s="16">
        <v>130110000</v>
      </c>
      <c r="G443" s="16">
        <f>F443*$G$1</f>
        <v>91077000</v>
      </c>
      <c r="H443" s="17"/>
    </row>
    <row r="444" spans="1:8" ht="24.95" customHeight="1" x14ac:dyDescent="0.4">
      <c r="A444" s="13">
        <v>77735</v>
      </c>
      <c r="B444" s="14">
        <v>46204</v>
      </c>
      <c r="C444" s="15" t="s">
        <v>13</v>
      </c>
      <c r="D444" s="15" t="s">
        <v>7</v>
      </c>
      <c r="E444" s="15" t="s">
        <v>8</v>
      </c>
      <c r="F444" s="16">
        <v>123549000</v>
      </c>
      <c r="G444" s="16">
        <f>F444*$G$1</f>
        <v>86484300</v>
      </c>
      <c r="H444" s="17"/>
    </row>
    <row r="445" spans="1:8" ht="24.95" customHeight="1" x14ac:dyDescent="0.4">
      <c r="A445" s="13">
        <v>77739</v>
      </c>
      <c r="B445" s="14">
        <v>46205</v>
      </c>
      <c r="C445" s="15" t="s">
        <v>13</v>
      </c>
      <c r="D445" s="15" t="s">
        <v>7</v>
      </c>
      <c r="E445" s="15" t="s">
        <v>8</v>
      </c>
      <c r="F445" s="16">
        <v>166452450</v>
      </c>
      <c r="G445" s="16">
        <f>F445*$G$1</f>
        <v>116516715</v>
      </c>
      <c r="H445" s="17"/>
    </row>
    <row r="446" spans="1:8" ht="24.95" customHeight="1" x14ac:dyDescent="0.4">
      <c r="A446" s="13">
        <v>77740</v>
      </c>
      <c r="B446" s="14">
        <v>46204</v>
      </c>
      <c r="C446" s="15" t="s">
        <v>13</v>
      </c>
      <c r="D446" s="15" t="s">
        <v>7</v>
      </c>
      <c r="E446" s="15" t="s">
        <v>8</v>
      </c>
      <c r="F446" s="16">
        <v>125082000</v>
      </c>
      <c r="G446" s="16">
        <f>F446*$G$1</f>
        <v>87557400</v>
      </c>
      <c r="H446" s="17"/>
    </row>
    <row r="447" spans="1:8" ht="24.95" customHeight="1" x14ac:dyDescent="0.4">
      <c r="A447" s="13">
        <v>77749</v>
      </c>
      <c r="B447" s="14">
        <v>46207</v>
      </c>
      <c r="C447" s="15" t="s">
        <v>13</v>
      </c>
      <c r="D447" s="15" t="s">
        <v>7</v>
      </c>
      <c r="E447" s="15" t="s">
        <v>8</v>
      </c>
      <c r="F447" s="16">
        <v>96708000</v>
      </c>
      <c r="G447" s="16">
        <f>F447*$G$1</f>
        <v>67695600</v>
      </c>
      <c r="H447" s="17"/>
    </row>
    <row r="448" spans="1:8" ht="24.95" customHeight="1" x14ac:dyDescent="0.4">
      <c r="A448" s="13">
        <v>77800</v>
      </c>
      <c r="B448" s="14">
        <v>46217</v>
      </c>
      <c r="C448" s="15" t="s">
        <v>13</v>
      </c>
      <c r="D448" s="15" t="s">
        <v>7</v>
      </c>
      <c r="E448" s="15" t="s">
        <v>8</v>
      </c>
      <c r="F448" s="16">
        <v>76801500</v>
      </c>
      <c r="G448" s="16">
        <f>F448*$G$1</f>
        <v>53761050</v>
      </c>
      <c r="H448" s="17"/>
    </row>
    <row r="449" spans="1:8" ht="24.95" customHeight="1" x14ac:dyDescent="0.4">
      <c r="A449" s="13">
        <v>77810</v>
      </c>
      <c r="B449" s="14">
        <v>46205</v>
      </c>
      <c r="C449" s="15" t="s">
        <v>13</v>
      </c>
      <c r="D449" s="15" t="s">
        <v>7</v>
      </c>
      <c r="E449" s="15" t="s">
        <v>8</v>
      </c>
      <c r="F449" s="16">
        <v>130185000</v>
      </c>
      <c r="G449" s="16">
        <f>F449*$G$1</f>
        <v>91129500</v>
      </c>
      <c r="H449" s="17"/>
    </row>
    <row r="450" spans="1:8" ht="24.95" customHeight="1" x14ac:dyDescent="0.4">
      <c r="A450" s="13">
        <v>76324</v>
      </c>
      <c r="B450" s="14">
        <v>46211</v>
      </c>
      <c r="C450" s="15" t="s">
        <v>13</v>
      </c>
      <c r="D450" s="15" t="s">
        <v>7</v>
      </c>
      <c r="E450" s="15" t="s">
        <v>15</v>
      </c>
      <c r="F450" s="16">
        <v>164464500</v>
      </c>
      <c r="G450" s="16">
        <f>F450*$G$1</f>
        <v>115125150</v>
      </c>
      <c r="H450" s="17"/>
    </row>
    <row r="451" spans="1:8" ht="24.95" customHeight="1" x14ac:dyDescent="0.4">
      <c r="A451" s="13">
        <v>76863</v>
      </c>
      <c r="B451" s="14">
        <v>46196</v>
      </c>
      <c r="C451" s="15" t="s">
        <v>13</v>
      </c>
      <c r="D451" s="15" t="s">
        <v>7</v>
      </c>
      <c r="E451" s="15" t="s">
        <v>15</v>
      </c>
      <c r="F451" s="16">
        <v>92185500</v>
      </c>
      <c r="G451" s="16">
        <f>F451*$G$1</f>
        <v>64529849.999999993</v>
      </c>
      <c r="H451" s="17"/>
    </row>
    <row r="452" spans="1:8" ht="24.95" customHeight="1" x14ac:dyDescent="0.4">
      <c r="A452" s="13">
        <v>77742</v>
      </c>
      <c r="B452" s="14">
        <v>46205</v>
      </c>
      <c r="C452" s="15" t="s">
        <v>13</v>
      </c>
      <c r="D452" s="15" t="s">
        <v>7</v>
      </c>
      <c r="E452" s="15" t="s">
        <v>15</v>
      </c>
      <c r="F452" s="16">
        <v>129447000</v>
      </c>
      <c r="G452" s="16">
        <f>F452*$G$1</f>
        <v>90612900</v>
      </c>
      <c r="H452" s="17"/>
    </row>
    <row r="453" spans="1:8" ht="24.95" customHeight="1" x14ac:dyDescent="0.4">
      <c r="A453" s="13">
        <v>77555</v>
      </c>
      <c r="B453" s="14">
        <v>46211</v>
      </c>
      <c r="C453" s="15" t="s">
        <v>13</v>
      </c>
      <c r="D453" s="15" t="s">
        <v>7</v>
      </c>
      <c r="E453" s="15" t="s">
        <v>14</v>
      </c>
      <c r="F453" s="16">
        <v>326197500</v>
      </c>
      <c r="G453" s="16">
        <f>F453*$G$1</f>
        <v>228338250</v>
      </c>
      <c r="H453" s="17"/>
    </row>
    <row r="454" spans="1:8" ht="24.95" customHeight="1" x14ac:dyDescent="0.4">
      <c r="A454" s="13">
        <v>77728</v>
      </c>
      <c r="B454" s="14">
        <v>46204</v>
      </c>
      <c r="C454" s="15" t="s">
        <v>13</v>
      </c>
      <c r="D454" s="15" t="s">
        <v>7</v>
      </c>
      <c r="E454" s="15" t="s">
        <v>14</v>
      </c>
      <c r="F454" s="16">
        <v>145336500</v>
      </c>
      <c r="G454" s="16">
        <f>F454*$G$1</f>
        <v>101735550</v>
      </c>
      <c r="H454" s="17"/>
    </row>
    <row r="455" spans="1:8" ht="24.95" customHeight="1" x14ac:dyDescent="0.4">
      <c r="A455" s="13">
        <v>76605</v>
      </c>
      <c r="B455" s="14">
        <v>46204</v>
      </c>
      <c r="C455" s="15" t="s">
        <v>13</v>
      </c>
      <c r="D455" s="15" t="s">
        <v>7</v>
      </c>
      <c r="E455" s="15" t="s">
        <v>135</v>
      </c>
      <c r="F455" s="16">
        <v>775378884</v>
      </c>
      <c r="G455" s="16">
        <f>F455*$G$1</f>
        <v>542765218.79999995</v>
      </c>
      <c r="H455" s="17"/>
    </row>
    <row r="456" spans="1:8" ht="24.95" customHeight="1" x14ac:dyDescent="0.4">
      <c r="A456" s="13">
        <v>77075</v>
      </c>
      <c r="B456" s="14">
        <v>46204</v>
      </c>
      <c r="C456" s="15" t="s">
        <v>13</v>
      </c>
      <c r="D456" s="15" t="s">
        <v>7</v>
      </c>
      <c r="E456" s="15" t="s">
        <v>147</v>
      </c>
      <c r="F456" s="16">
        <v>127555500</v>
      </c>
      <c r="G456" s="16">
        <f>F456*$G$1</f>
        <v>89288850</v>
      </c>
      <c r="H456" s="17"/>
    </row>
    <row r="457" spans="1:8" ht="24.95" customHeight="1" x14ac:dyDescent="0.4">
      <c r="A457" s="13">
        <v>77623</v>
      </c>
      <c r="B457" s="14">
        <v>46233</v>
      </c>
      <c r="C457" s="15" t="s">
        <v>315</v>
      </c>
      <c r="D457" s="15" t="s">
        <v>7</v>
      </c>
      <c r="E457" s="15" t="s">
        <v>10</v>
      </c>
      <c r="F457" s="16">
        <v>1675439403</v>
      </c>
      <c r="G457" s="16">
        <f>F457*$G$1</f>
        <v>1172807582.0999999</v>
      </c>
      <c r="H457" s="17"/>
    </row>
    <row r="458" spans="1:8" ht="24.95" customHeight="1" x14ac:dyDescent="0.4">
      <c r="A458" s="13">
        <v>77064</v>
      </c>
      <c r="B458" s="14">
        <v>46226</v>
      </c>
      <c r="C458" s="15" t="s">
        <v>191</v>
      </c>
      <c r="D458" s="15" t="s">
        <v>7</v>
      </c>
      <c r="E458" s="15" t="s">
        <v>10</v>
      </c>
      <c r="F458" s="16">
        <v>720244000</v>
      </c>
      <c r="G458" s="16">
        <f>F458*$G$1</f>
        <v>504170799.99999994</v>
      </c>
      <c r="H458" s="17"/>
    </row>
    <row r="459" spans="1:8" ht="24.95" customHeight="1" x14ac:dyDescent="0.4">
      <c r="A459" s="13">
        <v>77620</v>
      </c>
      <c r="B459" s="14">
        <v>46219</v>
      </c>
      <c r="C459" s="15" t="s">
        <v>191</v>
      </c>
      <c r="D459" s="15" t="s">
        <v>7</v>
      </c>
      <c r="E459" s="15" t="s">
        <v>10</v>
      </c>
      <c r="F459" s="16">
        <v>2972650000</v>
      </c>
      <c r="G459" s="16">
        <f>F459*$G$1</f>
        <v>2080854999.9999998</v>
      </c>
      <c r="H459" s="17"/>
    </row>
    <row r="460" spans="1:8" ht="24.95" customHeight="1" x14ac:dyDescent="0.4">
      <c r="A460" s="13">
        <v>77621</v>
      </c>
      <c r="B460" s="14">
        <v>46219</v>
      </c>
      <c r="C460" s="15" t="s">
        <v>191</v>
      </c>
      <c r="D460" s="15" t="s">
        <v>7</v>
      </c>
      <c r="E460" s="15" t="s">
        <v>10</v>
      </c>
      <c r="F460" s="16">
        <v>925771600</v>
      </c>
      <c r="G460" s="16">
        <f>F460*$G$1</f>
        <v>648040120</v>
      </c>
      <c r="H460" s="17"/>
    </row>
    <row r="461" spans="1:8" ht="24.95" customHeight="1" x14ac:dyDescent="0.4">
      <c r="A461" s="13">
        <v>76242</v>
      </c>
      <c r="B461" s="14">
        <v>46191</v>
      </c>
      <c r="C461" s="15" t="s">
        <v>115</v>
      </c>
      <c r="D461" s="15" t="s">
        <v>7</v>
      </c>
      <c r="E461" s="15" t="s">
        <v>14</v>
      </c>
      <c r="F461" s="16">
        <v>423852690</v>
      </c>
      <c r="G461" s="16">
        <f>F461*$G$1</f>
        <v>296696883</v>
      </c>
      <c r="H461" s="17"/>
    </row>
    <row r="462" spans="1:8" ht="24.95" customHeight="1" x14ac:dyDescent="0.4">
      <c r="A462" s="13">
        <v>77286</v>
      </c>
      <c r="B462" s="14">
        <v>46191</v>
      </c>
      <c r="C462" s="15" t="s">
        <v>115</v>
      </c>
      <c r="D462" s="15" t="s">
        <v>7</v>
      </c>
      <c r="E462" s="15" t="s">
        <v>14</v>
      </c>
      <c r="F462" s="16">
        <v>1891597458</v>
      </c>
      <c r="G462" s="16">
        <f>F462*$G$1</f>
        <v>1324118220.5999999</v>
      </c>
      <c r="H462" s="17"/>
    </row>
    <row r="463" spans="1:8" ht="24.95" customHeight="1" x14ac:dyDescent="0.4">
      <c r="A463" s="13">
        <v>76048</v>
      </c>
      <c r="B463" s="14">
        <v>46191</v>
      </c>
      <c r="C463" s="15" t="s">
        <v>115</v>
      </c>
      <c r="D463" s="15" t="s">
        <v>7</v>
      </c>
      <c r="E463" s="15" t="s">
        <v>95</v>
      </c>
      <c r="F463" s="16">
        <v>727738470</v>
      </c>
      <c r="G463" s="16">
        <f>F463*$G$1</f>
        <v>509416928.99999994</v>
      </c>
      <c r="H463" s="17"/>
    </row>
    <row r="464" spans="1:8" ht="24.95" customHeight="1" x14ac:dyDescent="0.4">
      <c r="A464" s="13">
        <v>76604</v>
      </c>
      <c r="B464" s="14">
        <v>46191</v>
      </c>
      <c r="C464" s="15" t="s">
        <v>115</v>
      </c>
      <c r="D464" s="15" t="s">
        <v>7</v>
      </c>
      <c r="E464" s="15" t="s">
        <v>10</v>
      </c>
      <c r="F464" s="16">
        <v>423852690</v>
      </c>
      <c r="G464" s="16">
        <f>F464*$G$1</f>
        <v>296696883</v>
      </c>
      <c r="H464" s="17"/>
    </row>
    <row r="465" spans="1:8" ht="24.95" customHeight="1" x14ac:dyDescent="0.4">
      <c r="A465" s="13">
        <v>77488</v>
      </c>
      <c r="B465" s="14">
        <v>46204</v>
      </c>
      <c r="C465" s="15" t="s">
        <v>275</v>
      </c>
      <c r="D465" s="15" t="s">
        <v>7</v>
      </c>
      <c r="E465" s="15" t="s">
        <v>14</v>
      </c>
      <c r="F465" s="16">
        <v>720000000</v>
      </c>
      <c r="G465" s="16">
        <f>F465*$G$1</f>
        <v>503999999.99999994</v>
      </c>
      <c r="H465" s="17"/>
    </row>
    <row r="466" spans="1:8" ht="24.95" customHeight="1" x14ac:dyDescent="0.4">
      <c r="A466" s="13">
        <v>77766</v>
      </c>
      <c r="B466" s="14">
        <v>46205</v>
      </c>
      <c r="C466" s="15" t="s">
        <v>358</v>
      </c>
      <c r="D466" s="15" t="s">
        <v>7</v>
      </c>
      <c r="E466" s="15" t="s">
        <v>10</v>
      </c>
      <c r="F466" s="16">
        <v>234747148</v>
      </c>
      <c r="G466" s="16">
        <v>234747148</v>
      </c>
      <c r="H466" s="17"/>
    </row>
    <row r="467" spans="1:8" ht="24.95" customHeight="1" x14ac:dyDescent="0.4">
      <c r="A467" s="13">
        <v>77076</v>
      </c>
      <c r="B467" s="14">
        <v>46196</v>
      </c>
      <c r="C467" s="15" t="s">
        <v>144</v>
      </c>
      <c r="D467" s="15" t="s">
        <v>7</v>
      </c>
      <c r="E467" s="15" t="s">
        <v>14</v>
      </c>
      <c r="F467" s="16">
        <v>165262800</v>
      </c>
      <c r="G467" s="16">
        <f>F467*$G$1</f>
        <v>115683960</v>
      </c>
      <c r="H467" s="17"/>
    </row>
    <row r="468" spans="1:8" ht="24.95" customHeight="1" x14ac:dyDescent="0.4">
      <c r="A468" s="13">
        <v>77371</v>
      </c>
      <c r="B468" s="14">
        <v>46197</v>
      </c>
      <c r="C468" s="15" t="s">
        <v>144</v>
      </c>
      <c r="D468" s="15" t="s">
        <v>7</v>
      </c>
      <c r="E468" s="15" t="s">
        <v>10</v>
      </c>
      <c r="F468" s="16">
        <v>565493500</v>
      </c>
      <c r="G468" s="16">
        <f>F468*$G$1</f>
        <v>395845450</v>
      </c>
      <c r="H468" s="17"/>
    </row>
    <row r="469" spans="1:8" ht="24.95" customHeight="1" x14ac:dyDescent="0.4">
      <c r="A469" s="13">
        <v>77043</v>
      </c>
      <c r="B469" s="14">
        <v>46191</v>
      </c>
      <c r="C469" s="15" t="s">
        <v>184</v>
      </c>
      <c r="D469" s="15" t="s">
        <v>7</v>
      </c>
      <c r="E469" s="15" t="s">
        <v>9</v>
      </c>
      <c r="F469" s="16">
        <v>321486866</v>
      </c>
      <c r="G469" s="16">
        <f>F469*$G$1</f>
        <v>225040806.19999999</v>
      </c>
      <c r="H469" s="17"/>
    </row>
    <row r="470" spans="1:8" ht="24.95" customHeight="1" x14ac:dyDescent="0.4">
      <c r="A470" s="13">
        <v>77379</v>
      </c>
      <c r="B470" s="14">
        <v>46197</v>
      </c>
      <c r="C470" s="15" t="s">
        <v>163</v>
      </c>
      <c r="D470" s="15" t="s">
        <v>7</v>
      </c>
      <c r="E470" s="15" t="s">
        <v>8</v>
      </c>
      <c r="F470" s="16">
        <v>164442043.34999999</v>
      </c>
      <c r="G470" s="16">
        <f>F470*$G$1</f>
        <v>115109430.34499998</v>
      </c>
      <c r="H470" s="17"/>
    </row>
    <row r="471" spans="1:8" ht="24.95" customHeight="1" x14ac:dyDescent="0.4">
      <c r="A471" s="13">
        <v>77560</v>
      </c>
      <c r="B471" s="14">
        <v>46197</v>
      </c>
      <c r="C471" s="15" t="s">
        <v>163</v>
      </c>
      <c r="D471" s="15" t="s">
        <v>7</v>
      </c>
      <c r="E471" s="15" t="s">
        <v>8</v>
      </c>
      <c r="F471" s="16">
        <v>164442043.34999999</v>
      </c>
      <c r="G471" s="16">
        <v>115109430.34999999</v>
      </c>
      <c r="H471" s="17"/>
    </row>
    <row r="472" spans="1:8" ht="24.95" customHeight="1" x14ac:dyDescent="0.4">
      <c r="A472" s="13">
        <v>77622</v>
      </c>
      <c r="B472" s="14">
        <v>46233</v>
      </c>
      <c r="C472" s="15" t="s">
        <v>163</v>
      </c>
      <c r="D472" s="15" t="s">
        <v>7</v>
      </c>
      <c r="E472" s="15" t="s">
        <v>8</v>
      </c>
      <c r="F472" s="16">
        <v>313232100</v>
      </c>
      <c r="G472" s="16">
        <f>F472*$G$1</f>
        <v>219262470</v>
      </c>
      <c r="H472" s="17"/>
    </row>
    <row r="473" spans="1:8" ht="24.95" customHeight="1" x14ac:dyDescent="0.4">
      <c r="A473" s="13">
        <v>77843</v>
      </c>
      <c r="B473" s="14">
        <v>46211</v>
      </c>
      <c r="C473" s="15" t="s">
        <v>163</v>
      </c>
      <c r="D473" s="15" t="s">
        <v>7</v>
      </c>
      <c r="E473" s="15" t="s">
        <v>8</v>
      </c>
      <c r="F473" s="16">
        <v>127884000</v>
      </c>
      <c r="G473" s="16">
        <f>F473*$G$1</f>
        <v>89518800</v>
      </c>
      <c r="H473" s="17"/>
    </row>
    <row r="474" spans="1:8" ht="24.95" customHeight="1" x14ac:dyDescent="0.4">
      <c r="A474" s="13">
        <v>77727</v>
      </c>
      <c r="B474" s="14">
        <v>46204</v>
      </c>
      <c r="C474" s="15" t="s">
        <v>163</v>
      </c>
      <c r="D474" s="15" t="s">
        <v>7</v>
      </c>
      <c r="E474" s="15" t="s">
        <v>10</v>
      </c>
      <c r="F474" s="16">
        <v>1535385820</v>
      </c>
      <c r="G474" s="16">
        <f>F474*$G$1</f>
        <v>1074770074</v>
      </c>
      <c r="H474" s="17"/>
    </row>
    <row r="475" spans="1:8" ht="24.95" customHeight="1" x14ac:dyDescent="0.4">
      <c r="A475" s="13">
        <v>77679</v>
      </c>
      <c r="B475" s="14">
        <v>46198</v>
      </c>
      <c r="C475" s="15" t="s">
        <v>336</v>
      </c>
      <c r="D475" s="15" t="s">
        <v>36</v>
      </c>
      <c r="E475" s="15" t="s">
        <v>14</v>
      </c>
      <c r="F475" s="16">
        <v>69950630</v>
      </c>
      <c r="G475" s="16">
        <f>F475*$G$1</f>
        <v>48965441</v>
      </c>
      <c r="H475" s="17"/>
    </row>
    <row r="476" spans="1:8" ht="24.95" customHeight="1" x14ac:dyDescent="0.4">
      <c r="A476" s="13">
        <v>77681</v>
      </c>
      <c r="B476" s="14">
        <v>46203</v>
      </c>
      <c r="C476" s="15" t="s">
        <v>336</v>
      </c>
      <c r="D476" s="15" t="s">
        <v>36</v>
      </c>
      <c r="E476" s="15" t="s">
        <v>10</v>
      </c>
      <c r="F476" s="16">
        <v>180167109</v>
      </c>
      <c r="G476" s="16">
        <f>F476*$G$1</f>
        <v>126116976.3</v>
      </c>
      <c r="H476" s="17"/>
    </row>
    <row r="477" spans="1:8" ht="24.95" customHeight="1" x14ac:dyDescent="0.4">
      <c r="A477" s="13">
        <v>77678</v>
      </c>
      <c r="B477" s="14">
        <v>46197</v>
      </c>
      <c r="C477" s="15" t="s">
        <v>133</v>
      </c>
      <c r="D477" s="15" t="s">
        <v>36</v>
      </c>
      <c r="E477" s="15" t="s">
        <v>10</v>
      </c>
      <c r="F477" s="16">
        <v>485784055</v>
      </c>
      <c r="G477" s="16">
        <f>F477*$G$1</f>
        <v>340048838.5</v>
      </c>
      <c r="H477" s="17"/>
    </row>
    <row r="478" spans="1:8" ht="24.95" customHeight="1" x14ac:dyDescent="0.4">
      <c r="A478" s="13">
        <v>77258</v>
      </c>
      <c r="B478" s="14">
        <v>46206</v>
      </c>
      <c r="C478" s="15" t="s">
        <v>133</v>
      </c>
      <c r="D478" s="15" t="s">
        <v>36</v>
      </c>
      <c r="E478" s="15" t="s">
        <v>77</v>
      </c>
      <c r="F478" s="16">
        <v>1250000</v>
      </c>
      <c r="G478" s="16">
        <f>F478*$G$1</f>
        <v>875000</v>
      </c>
      <c r="H478" s="17" t="s">
        <v>221</v>
      </c>
    </row>
    <row r="479" spans="1:8" ht="24.95" customHeight="1" x14ac:dyDescent="0.4">
      <c r="A479" s="13">
        <v>77680</v>
      </c>
      <c r="B479" s="14">
        <v>46203</v>
      </c>
      <c r="C479" s="15" t="s">
        <v>133</v>
      </c>
      <c r="D479" s="15" t="s">
        <v>36</v>
      </c>
      <c r="E479" s="15" t="s">
        <v>11</v>
      </c>
      <c r="F479" s="16">
        <v>84366000</v>
      </c>
      <c r="G479" s="16">
        <f>F479*$G$1</f>
        <v>59056199.999999993</v>
      </c>
      <c r="H479" s="17" t="s">
        <v>337</v>
      </c>
    </row>
    <row r="480" spans="1:8" ht="24.95" customHeight="1" x14ac:dyDescent="0.4">
      <c r="A480" s="13">
        <v>76453</v>
      </c>
      <c r="B480" s="14">
        <v>46199</v>
      </c>
      <c r="C480" s="15" t="s">
        <v>134</v>
      </c>
      <c r="D480" s="15" t="s">
        <v>36</v>
      </c>
      <c r="E480" s="15" t="s">
        <v>9</v>
      </c>
      <c r="F480" s="16">
        <v>64645500</v>
      </c>
      <c r="G480" s="16">
        <f>F480*$G$1</f>
        <v>45251850</v>
      </c>
      <c r="H480" s="17"/>
    </row>
    <row r="481" spans="1:8" ht="24.95" customHeight="1" x14ac:dyDescent="0.4">
      <c r="A481" s="13">
        <v>77257</v>
      </c>
      <c r="B481" s="14">
        <v>46192</v>
      </c>
      <c r="C481" s="15" t="s">
        <v>220</v>
      </c>
      <c r="D481" s="15" t="s">
        <v>36</v>
      </c>
      <c r="E481" s="15" t="s">
        <v>14</v>
      </c>
      <c r="F481" s="16">
        <v>165170096</v>
      </c>
      <c r="G481" s="16">
        <f>F481*$G$1</f>
        <v>115619067.19999999</v>
      </c>
      <c r="H481" s="17"/>
    </row>
    <row r="482" spans="1:8" ht="24.95" customHeight="1" x14ac:dyDescent="0.4">
      <c r="A482" s="13">
        <v>77259</v>
      </c>
      <c r="B482" s="14">
        <v>46209</v>
      </c>
      <c r="C482" s="15" t="s">
        <v>222</v>
      </c>
      <c r="D482" s="15" t="s">
        <v>36</v>
      </c>
      <c r="E482" s="15" t="s">
        <v>10</v>
      </c>
      <c r="F482" s="16">
        <v>70412385</v>
      </c>
      <c r="G482" s="16">
        <f>F482*$G$1</f>
        <v>49288669.5</v>
      </c>
      <c r="H482" s="17"/>
    </row>
    <row r="483" spans="1:8" ht="24.95" customHeight="1" x14ac:dyDescent="0.4">
      <c r="A483" s="13">
        <v>77260</v>
      </c>
      <c r="B483" s="14">
        <v>46217</v>
      </c>
      <c r="C483" s="15" t="s">
        <v>222</v>
      </c>
      <c r="D483" s="15" t="s">
        <v>36</v>
      </c>
      <c r="E483" s="15" t="s">
        <v>10</v>
      </c>
      <c r="F483" s="16">
        <v>2071674990</v>
      </c>
      <c r="G483" s="16">
        <f>F483*$G$1</f>
        <v>1450172493</v>
      </c>
      <c r="H483" s="17"/>
    </row>
    <row r="484" spans="1:8" ht="24.95" customHeight="1" x14ac:dyDescent="0.4">
      <c r="A484" s="13">
        <v>77677</v>
      </c>
      <c r="B484" s="14">
        <v>46210</v>
      </c>
      <c r="C484" s="15" t="s">
        <v>335</v>
      </c>
      <c r="D484" s="15" t="s">
        <v>157</v>
      </c>
      <c r="E484" s="15" t="s">
        <v>14</v>
      </c>
      <c r="F484" s="16">
        <v>461400000</v>
      </c>
      <c r="G484" s="16">
        <f>F484*$G$1</f>
        <v>322980000</v>
      </c>
      <c r="H484" s="17"/>
    </row>
    <row r="485" spans="1:8" ht="24.95" customHeight="1" x14ac:dyDescent="0.4">
      <c r="A485" s="13">
        <v>77251</v>
      </c>
      <c r="B485" s="14">
        <v>46195</v>
      </c>
      <c r="C485" s="15" t="s">
        <v>218</v>
      </c>
      <c r="D485" s="15" t="s">
        <v>157</v>
      </c>
      <c r="E485" s="15" t="s">
        <v>11</v>
      </c>
      <c r="F485" s="16">
        <v>85644000</v>
      </c>
      <c r="G485" s="16">
        <f>F485*$G$1</f>
        <v>59950799.999999993</v>
      </c>
      <c r="H485" s="17" t="s">
        <v>219</v>
      </c>
    </row>
    <row r="486" spans="1:8" ht="24.95" customHeight="1" x14ac:dyDescent="0.4">
      <c r="A486" s="13">
        <v>75711</v>
      </c>
      <c r="B486" s="14">
        <v>46219</v>
      </c>
      <c r="C486" s="15" t="s">
        <v>106</v>
      </c>
      <c r="D486" s="15" t="s">
        <v>83</v>
      </c>
      <c r="E486" s="15" t="s">
        <v>10</v>
      </c>
      <c r="F486" s="16">
        <v>191900000</v>
      </c>
      <c r="G486" s="16">
        <f>F486*$G$1</f>
        <v>134330000</v>
      </c>
      <c r="H486" s="17"/>
    </row>
    <row r="487" spans="1:8" ht="24.95" customHeight="1" x14ac:dyDescent="0.4">
      <c r="A487" s="13">
        <v>77573</v>
      </c>
      <c r="B487" s="14">
        <v>46205</v>
      </c>
      <c r="C487" s="15" t="s">
        <v>88</v>
      </c>
      <c r="D487" s="15" t="s">
        <v>83</v>
      </c>
      <c r="E487" s="15" t="s">
        <v>28</v>
      </c>
      <c r="F487" s="16">
        <v>640597155</v>
      </c>
      <c r="G487" s="16">
        <f>F487*$G$1</f>
        <v>448418008.5</v>
      </c>
      <c r="H487" s="17"/>
    </row>
    <row r="488" spans="1:8" ht="24.95" customHeight="1" x14ac:dyDescent="0.4">
      <c r="A488" s="13">
        <v>77674</v>
      </c>
      <c r="B488" s="14">
        <v>46203</v>
      </c>
      <c r="C488" s="15" t="s">
        <v>88</v>
      </c>
      <c r="D488" s="15" t="s">
        <v>83</v>
      </c>
      <c r="E488" s="15" t="s">
        <v>14</v>
      </c>
      <c r="F488" s="16">
        <v>337221022</v>
      </c>
      <c r="G488" s="16">
        <f>F488*$G$1</f>
        <v>236054715.39999998</v>
      </c>
      <c r="H488" s="17"/>
    </row>
    <row r="489" spans="1:8" ht="24.95" customHeight="1" x14ac:dyDescent="0.4">
      <c r="A489" s="13">
        <v>77676</v>
      </c>
      <c r="B489" s="14">
        <v>46231</v>
      </c>
      <c r="C489" s="15" t="s">
        <v>88</v>
      </c>
      <c r="D489" s="15" t="s">
        <v>83</v>
      </c>
      <c r="E489" s="15" t="s">
        <v>14</v>
      </c>
      <c r="F489" s="16">
        <v>40286400</v>
      </c>
      <c r="G489" s="16">
        <f>F489*$G$1</f>
        <v>28200480</v>
      </c>
      <c r="H489" s="17"/>
    </row>
    <row r="490" spans="1:8" ht="24.95" customHeight="1" x14ac:dyDescent="0.4">
      <c r="A490" s="13">
        <v>75948</v>
      </c>
      <c r="B490" s="14">
        <v>46211</v>
      </c>
      <c r="C490" s="15" t="s">
        <v>88</v>
      </c>
      <c r="D490" s="15" t="s">
        <v>83</v>
      </c>
      <c r="E490" s="15" t="s">
        <v>113</v>
      </c>
      <c r="F490" s="16">
        <v>80503500</v>
      </c>
      <c r="G490" s="16">
        <f>F490*$G$1</f>
        <v>56352450</v>
      </c>
      <c r="H490" s="17"/>
    </row>
    <row r="491" spans="1:8" ht="24.95" customHeight="1" x14ac:dyDescent="0.4">
      <c r="A491" s="13">
        <v>76191</v>
      </c>
      <c r="B491" s="14">
        <v>46198</v>
      </c>
      <c r="C491" s="15" t="s">
        <v>88</v>
      </c>
      <c r="D491" s="15" t="s">
        <v>83</v>
      </c>
      <c r="E491" s="15" t="s">
        <v>113</v>
      </c>
      <c r="F491" s="16">
        <v>61641400</v>
      </c>
      <c r="G491" s="16">
        <f>F491*$G$1</f>
        <v>43148980</v>
      </c>
      <c r="H491" s="17"/>
    </row>
    <row r="492" spans="1:8" ht="24.95" customHeight="1" x14ac:dyDescent="0.4">
      <c r="A492" s="13">
        <v>76877</v>
      </c>
      <c r="B492" s="14">
        <v>46231</v>
      </c>
      <c r="C492" s="15" t="s">
        <v>88</v>
      </c>
      <c r="D492" s="15" t="s">
        <v>83</v>
      </c>
      <c r="E492" s="15" t="s">
        <v>9</v>
      </c>
      <c r="F492" s="16">
        <v>94720000</v>
      </c>
      <c r="G492" s="16">
        <f>F492*$G$1</f>
        <v>66303999.999999993</v>
      </c>
      <c r="H492" s="17"/>
    </row>
    <row r="493" spans="1:8" ht="24.95" customHeight="1" x14ac:dyDescent="0.4">
      <c r="A493" s="13">
        <v>77673</v>
      </c>
      <c r="B493" s="14">
        <v>46196</v>
      </c>
      <c r="C493" s="15" t="s">
        <v>82</v>
      </c>
      <c r="D493" s="15" t="s">
        <v>83</v>
      </c>
      <c r="E493" s="15" t="s">
        <v>112</v>
      </c>
      <c r="F493" s="16">
        <v>52369800</v>
      </c>
      <c r="G493" s="16">
        <f>F493*$G$1</f>
        <v>36658860</v>
      </c>
      <c r="H493" s="17"/>
    </row>
    <row r="494" spans="1:8" ht="24.95" customHeight="1" x14ac:dyDescent="0.4">
      <c r="A494" s="13">
        <v>75712</v>
      </c>
      <c r="B494" s="14">
        <v>46219</v>
      </c>
      <c r="C494" s="15" t="s">
        <v>82</v>
      </c>
      <c r="D494" s="15" t="s">
        <v>83</v>
      </c>
      <c r="E494" s="15" t="s">
        <v>8</v>
      </c>
      <c r="F494" s="16">
        <v>147665000</v>
      </c>
      <c r="G494" s="16">
        <f>F494*$G$1</f>
        <v>103365500</v>
      </c>
      <c r="H494" s="17"/>
    </row>
    <row r="495" spans="1:8" ht="24.95" customHeight="1" x14ac:dyDescent="0.4">
      <c r="A495" s="13">
        <v>77675</v>
      </c>
      <c r="B495" s="14">
        <v>46203</v>
      </c>
      <c r="C495" s="15" t="s">
        <v>82</v>
      </c>
      <c r="D495" s="15" t="s">
        <v>83</v>
      </c>
      <c r="E495" s="15" t="s">
        <v>59</v>
      </c>
      <c r="F495" s="16">
        <v>382615500</v>
      </c>
      <c r="G495" s="16">
        <f>F495*$G$1</f>
        <v>267830849.99999997</v>
      </c>
      <c r="H495" s="17"/>
    </row>
    <row r="496" spans="1:8" ht="24.95" customHeight="1" x14ac:dyDescent="0.4">
      <c r="A496" s="13">
        <v>77249</v>
      </c>
      <c r="B496" s="14">
        <v>46196</v>
      </c>
      <c r="C496" s="15" t="s">
        <v>82</v>
      </c>
      <c r="D496" s="15" t="s">
        <v>83</v>
      </c>
      <c r="E496" s="15" t="s">
        <v>14</v>
      </c>
      <c r="F496" s="16">
        <v>154976000</v>
      </c>
      <c r="G496" s="16">
        <f>F496*$G$1</f>
        <v>108483200</v>
      </c>
      <c r="H496" s="17"/>
    </row>
    <row r="497" spans="1:8" ht="24.95" customHeight="1" x14ac:dyDescent="0.4">
      <c r="A497" s="13">
        <v>75992</v>
      </c>
      <c r="B497" s="14">
        <v>46245</v>
      </c>
      <c r="C497" s="15" t="s">
        <v>82</v>
      </c>
      <c r="D497" s="15" t="s">
        <v>83</v>
      </c>
      <c r="E497" s="15" t="s">
        <v>11</v>
      </c>
      <c r="F497" s="16">
        <v>16338000</v>
      </c>
      <c r="G497" s="16">
        <f>F497*$G$1</f>
        <v>11436600</v>
      </c>
      <c r="H497" s="17" t="s">
        <v>114</v>
      </c>
    </row>
    <row r="498" spans="1:8" ht="24.95" customHeight="1" x14ac:dyDescent="0.4">
      <c r="A498" s="13">
        <v>77844</v>
      </c>
      <c r="B498" s="14">
        <v>46254</v>
      </c>
      <c r="C498" s="15" t="s">
        <v>372</v>
      </c>
      <c r="D498" s="15" t="s">
        <v>24</v>
      </c>
      <c r="E498" s="15" t="s">
        <v>15</v>
      </c>
      <c r="F498" s="16">
        <v>238749181.81999999</v>
      </c>
      <c r="G498" s="16">
        <f>F498*$G$1</f>
        <v>167124427.27399999</v>
      </c>
      <c r="H498" s="17"/>
    </row>
    <row r="499" spans="1:8" ht="24.95" customHeight="1" x14ac:dyDescent="0.4">
      <c r="A499" s="13">
        <v>77501</v>
      </c>
      <c r="B499" s="14">
        <v>46197</v>
      </c>
      <c r="C499" s="15" t="s">
        <v>280</v>
      </c>
      <c r="D499" s="15" t="s">
        <v>24</v>
      </c>
      <c r="E499" s="15" t="s">
        <v>45</v>
      </c>
      <c r="F499" s="16">
        <v>120098517</v>
      </c>
      <c r="G499" s="16">
        <f>F499*$G$1</f>
        <v>84068961.899999991</v>
      </c>
      <c r="H499" s="17"/>
    </row>
    <row r="500" spans="1:8" ht="24.95" customHeight="1" x14ac:dyDescent="0.4">
      <c r="A500" s="13">
        <v>77309</v>
      </c>
      <c r="B500" s="14">
        <v>46197</v>
      </c>
      <c r="C500" s="15" t="s">
        <v>146</v>
      </c>
      <c r="D500" s="15" t="s">
        <v>24</v>
      </c>
      <c r="E500" s="15" t="s">
        <v>15</v>
      </c>
      <c r="F500" s="16">
        <v>238757000</v>
      </c>
      <c r="G500" s="16">
        <f>F500*$G$1</f>
        <v>167129900</v>
      </c>
      <c r="H500" s="17"/>
    </row>
    <row r="501" spans="1:8" ht="24.95" customHeight="1" x14ac:dyDescent="0.4">
      <c r="A501" s="13">
        <v>77587</v>
      </c>
      <c r="B501" s="14">
        <v>46196</v>
      </c>
      <c r="C501" s="15" t="s">
        <v>146</v>
      </c>
      <c r="D501" s="15" t="s">
        <v>24</v>
      </c>
      <c r="E501" s="15" t="s">
        <v>10</v>
      </c>
      <c r="F501" s="16">
        <v>153419000</v>
      </c>
      <c r="G501" s="16">
        <f>F501*$G$1</f>
        <v>107393300</v>
      </c>
      <c r="H501" s="17"/>
    </row>
    <row r="502" spans="1:8" ht="24.95" customHeight="1" x14ac:dyDescent="0.4">
      <c r="A502" s="13">
        <v>77745</v>
      </c>
      <c r="B502" s="14">
        <v>46205</v>
      </c>
      <c r="C502" s="15" t="s">
        <v>352</v>
      </c>
      <c r="D502" s="15" t="s">
        <v>24</v>
      </c>
      <c r="E502" s="15" t="s">
        <v>37</v>
      </c>
      <c r="F502" s="16">
        <v>49980000</v>
      </c>
      <c r="G502" s="16">
        <f>F502*$G$1</f>
        <v>34986000</v>
      </c>
      <c r="H502" s="17"/>
    </row>
    <row r="503" spans="1:8" ht="24.95" customHeight="1" x14ac:dyDescent="0.4">
      <c r="A503" s="13">
        <v>77625</v>
      </c>
      <c r="B503" s="14">
        <v>46205</v>
      </c>
      <c r="C503" s="15" t="s">
        <v>316</v>
      </c>
      <c r="D503" s="15" t="s">
        <v>24</v>
      </c>
      <c r="E503" s="15" t="s">
        <v>14</v>
      </c>
      <c r="F503" s="16">
        <v>74340000</v>
      </c>
      <c r="G503" s="16">
        <f>F503*$G$1</f>
        <v>52038000</v>
      </c>
      <c r="H503" s="17"/>
    </row>
    <row r="504" spans="1:8" ht="24.95" customHeight="1" x14ac:dyDescent="0.4">
      <c r="A504" s="13">
        <v>76377</v>
      </c>
      <c r="B504" s="14">
        <v>46213</v>
      </c>
      <c r="C504" s="15" t="s">
        <v>127</v>
      </c>
      <c r="D504" s="15" t="s">
        <v>24</v>
      </c>
      <c r="E504" s="15" t="s">
        <v>14</v>
      </c>
      <c r="F504" s="16">
        <v>102780270</v>
      </c>
      <c r="G504" s="16">
        <f>F504*$G$1</f>
        <v>71946189</v>
      </c>
      <c r="H504" s="17"/>
    </row>
    <row r="505" spans="1:8" ht="24.95" customHeight="1" x14ac:dyDescent="0.4">
      <c r="A505" s="13">
        <v>77148</v>
      </c>
      <c r="B505" s="14">
        <v>46199</v>
      </c>
      <c r="C505" s="15" t="s">
        <v>127</v>
      </c>
      <c r="D505" s="15" t="s">
        <v>24</v>
      </c>
      <c r="E505" s="15" t="s">
        <v>14</v>
      </c>
      <c r="F505" s="16">
        <v>1141460350</v>
      </c>
      <c r="G505" s="16">
        <f>F505*$G$1</f>
        <v>799022245</v>
      </c>
      <c r="H505" s="17"/>
    </row>
    <row r="506" spans="1:8" ht="24.95" customHeight="1" x14ac:dyDescent="0.4">
      <c r="A506" s="13">
        <v>77149</v>
      </c>
      <c r="B506" s="14">
        <v>46199</v>
      </c>
      <c r="C506" s="15" t="s">
        <v>127</v>
      </c>
      <c r="D506" s="15" t="s">
        <v>24</v>
      </c>
      <c r="E506" s="15" t="s">
        <v>14</v>
      </c>
      <c r="F506" s="16">
        <v>235788160</v>
      </c>
      <c r="G506" s="16">
        <f>F506*$G$1</f>
        <v>165051712</v>
      </c>
      <c r="H506" s="17"/>
    </row>
    <row r="507" spans="1:8" ht="24.95" customHeight="1" x14ac:dyDescent="0.4">
      <c r="A507" s="13">
        <v>77799</v>
      </c>
      <c r="B507" s="14">
        <v>46205</v>
      </c>
      <c r="C507" s="15" t="s">
        <v>365</v>
      </c>
      <c r="D507" s="15" t="s">
        <v>24</v>
      </c>
      <c r="E507" s="15" t="s">
        <v>14</v>
      </c>
      <c r="F507" s="16">
        <v>34801500</v>
      </c>
      <c r="G507" s="16">
        <f>F507*$G$1</f>
        <v>24361050</v>
      </c>
      <c r="H507" s="17"/>
    </row>
    <row r="508" spans="1:8" ht="24.95" customHeight="1" x14ac:dyDescent="0.4">
      <c r="A508" s="13">
        <v>77302</v>
      </c>
      <c r="B508" s="14">
        <v>46234</v>
      </c>
      <c r="C508" s="15" t="s">
        <v>234</v>
      </c>
      <c r="D508" s="15" t="s">
        <v>24</v>
      </c>
      <c r="E508" s="15" t="s">
        <v>9</v>
      </c>
      <c r="F508" s="16">
        <v>5105002364</v>
      </c>
      <c r="G508" s="16">
        <f>F508*$G$1</f>
        <v>3573501654.7999997</v>
      </c>
      <c r="H508" s="17"/>
    </row>
    <row r="509" spans="1:8" ht="24.95" customHeight="1" x14ac:dyDescent="0.4">
      <c r="A509" s="13">
        <v>75796</v>
      </c>
      <c r="B509" s="14">
        <v>46234</v>
      </c>
      <c r="C509" s="15" t="s">
        <v>108</v>
      </c>
      <c r="D509" s="15" t="s">
        <v>24</v>
      </c>
      <c r="E509" s="15" t="s">
        <v>109</v>
      </c>
      <c r="F509" s="16">
        <v>3235134000</v>
      </c>
      <c r="G509" s="16">
        <f>F509*$G$1</f>
        <v>2264593800</v>
      </c>
      <c r="H509" s="17"/>
    </row>
    <row r="510" spans="1:8" ht="24.95" customHeight="1" x14ac:dyDescent="0.4">
      <c r="A510" s="13">
        <v>77507</v>
      </c>
      <c r="B510" s="14">
        <v>46217</v>
      </c>
      <c r="C510" s="15" t="s">
        <v>283</v>
      </c>
      <c r="D510" s="15" t="s">
        <v>24</v>
      </c>
      <c r="E510" s="15" t="s">
        <v>282</v>
      </c>
      <c r="F510" s="16">
        <v>191665504.59</v>
      </c>
      <c r="G510" s="16">
        <f>F510*$G$1</f>
        <v>134165853.213</v>
      </c>
      <c r="H510" s="17"/>
    </row>
    <row r="511" spans="1:8" ht="24.95" customHeight="1" x14ac:dyDescent="0.4">
      <c r="A511" s="13">
        <v>77725</v>
      </c>
      <c r="B511" s="14">
        <v>46212</v>
      </c>
      <c r="C511" s="15" t="s">
        <v>283</v>
      </c>
      <c r="D511" s="15" t="s">
        <v>24</v>
      </c>
      <c r="E511" s="15" t="s">
        <v>14</v>
      </c>
      <c r="F511" s="16">
        <v>67938720</v>
      </c>
      <c r="G511" s="16">
        <f>F511*$G$1</f>
        <v>47557104</v>
      </c>
      <c r="H511" s="17"/>
    </row>
    <row r="512" spans="1:8" ht="24.95" customHeight="1" x14ac:dyDescent="0.4">
      <c r="A512" s="13">
        <v>77704</v>
      </c>
      <c r="B512" s="14">
        <v>46217</v>
      </c>
      <c r="C512" s="15" t="s">
        <v>283</v>
      </c>
      <c r="D512" s="15" t="s">
        <v>24</v>
      </c>
      <c r="E512" s="15" t="s">
        <v>95</v>
      </c>
      <c r="F512" s="16">
        <v>191665504</v>
      </c>
      <c r="G512" s="16">
        <f>F512*$G$1</f>
        <v>134165852.8</v>
      </c>
      <c r="H512" s="17"/>
    </row>
    <row r="513" spans="1:8" ht="24.95" customHeight="1" x14ac:dyDescent="0.4">
      <c r="A513" s="13">
        <v>77310</v>
      </c>
      <c r="B513" s="14">
        <v>46198</v>
      </c>
      <c r="C513" s="15" t="s">
        <v>23</v>
      </c>
      <c r="D513" s="15" t="s">
        <v>24</v>
      </c>
      <c r="E513" s="15" t="s">
        <v>8</v>
      </c>
      <c r="F513" s="16">
        <v>118163500</v>
      </c>
      <c r="G513" s="16">
        <f>F513*$G$1</f>
        <v>82714450</v>
      </c>
      <c r="H513" s="17"/>
    </row>
    <row r="514" spans="1:8" ht="24.95" customHeight="1" x14ac:dyDescent="0.4">
      <c r="A514" s="13">
        <v>77819</v>
      </c>
      <c r="B514" s="14">
        <v>46209</v>
      </c>
      <c r="C514" s="15" t="s">
        <v>23</v>
      </c>
      <c r="D514" s="15" t="s">
        <v>24</v>
      </c>
      <c r="E514" s="15" t="s">
        <v>8</v>
      </c>
      <c r="F514" s="16">
        <v>69906000</v>
      </c>
      <c r="G514" s="16">
        <f>F514*$G$1</f>
        <v>48934200</v>
      </c>
      <c r="H514" s="17"/>
    </row>
    <row r="515" spans="1:8" ht="24.95" customHeight="1" x14ac:dyDescent="0.4">
      <c r="A515" s="13">
        <v>77671</v>
      </c>
      <c r="B515" s="14">
        <v>46217</v>
      </c>
      <c r="C515" s="15" t="s">
        <v>23</v>
      </c>
      <c r="D515" s="15" t="s">
        <v>24</v>
      </c>
      <c r="E515" s="15" t="s">
        <v>15</v>
      </c>
      <c r="F515" s="16">
        <v>846804000</v>
      </c>
      <c r="G515" s="16">
        <f>F515*$G$1</f>
        <v>592762800</v>
      </c>
      <c r="H515" s="17"/>
    </row>
    <row r="516" spans="1:8" ht="24.95" customHeight="1" x14ac:dyDescent="0.4">
      <c r="A516" s="13">
        <v>76889</v>
      </c>
      <c r="B516" s="14">
        <v>46195</v>
      </c>
      <c r="C516" s="15" t="s">
        <v>23</v>
      </c>
      <c r="D516" s="15" t="s">
        <v>24</v>
      </c>
      <c r="E516" s="15" t="s">
        <v>14</v>
      </c>
      <c r="F516" s="16">
        <v>5819959702</v>
      </c>
      <c r="G516" s="16">
        <f>F516*$G$1</f>
        <v>4073971791.3999996</v>
      </c>
      <c r="H516" s="17"/>
    </row>
    <row r="517" spans="1:8" ht="24.95" customHeight="1" x14ac:dyDescent="0.4">
      <c r="A517" s="13">
        <v>76945</v>
      </c>
      <c r="B517" s="14">
        <v>46232</v>
      </c>
      <c r="C517" s="15" t="s">
        <v>23</v>
      </c>
      <c r="D517" s="15" t="s">
        <v>24</v>
      </c>
      <c r="E517" s="15" t="s">
        <v>14</v>
      </c>
      <c r="F517" s="16">
        <v>653647344</v>
      </c>
      <c r="G517" s="16">
        <v>653647344</v>
      </c>
      <c r="H517" s="17"/>
    </row>
    <row r="518" spans="1:8" ht="24.95" customHeight="1" x14ac:dyDescent="0.4">
      <c r="A518" s="13">
        <v>77552</v>
      </c>
      <c r="B518" s="14">
        <v>46198</v>
      </c>
      <c r="C518" s="15" t="s">
        <v>23</v>
      </c>
      <c r="D518" s="15" t="s">
        <v>24</v>
      </c>
      <c r="E518" s="15" t="s">
        <v>14</v>
      </c>
      <c r="F518" s="16">
        <v>1845790000</v>
      </c>
      <c r="G518" s="16">
        <f>F518*$G$1</f>
        <v>1292053000</v>
      </c>
      <c r="H518" s="17"/>
    </row>
    <row r="519" spans="1:8" ht="24.95" customHeight="1" x14ac:dyDescent="0.4">
      <c r="A519" s="13">
        <v>77569</v>
      </c>
      <c r="B519" s="14">
        <v>46197</v>
      </c>
      <c r="C519" s="15" t="s">
        <v>23</v>
      </c>
      <c r="D519" s="15" t="s">
        <v>24</v>
      </c>
      <c r="E519" s="15" t="s">
        <v>14</v>
      </c>
      <c r="F519" s="16">
        <v>160368000</v>
      </c>
      <c r="G519" s="16">
        <f>F519*$G$1</f>
        <v>112257600</v>
      </c>
      <c r="H519" s="17"/>
    </row>
    <row r="520" spans="1:8" ht="24.95" customHeight="1" x14ac:dyDescent="0.4">
      <c r="A520" s="13">
        <v>77824</v>
      </c>
      <c r="B520" s="14">
        <v>46210</v>
      </c>
      <c r="C520" s="15" t="s">
        <v>23</v>
      </c>
      <c r="D520" s="15" t="s">
        <v>24</v>
      </c>
      <c r="E520" s="15" t="s">
        <v>14</v>
      </c>
      <c r="F520" s="16">
        <v>143042100</v>
      </c>
      <c r="G520" s="16">
        <f>F520*$G$1</f>
        <v>100129470</v>
      </c>
      <c r="H520" s="17"/>
    </row>
    <row r="521" spans="1:8" ht="24.95" customHeight="1" x14ac:dyDescent="0.4">
      <c r="A521" s="13">
        <v>77284</v>
      </c>
      <c r="B521" s="14">
        <v>46191</v>
      </c>
      <c r="C521" s="15" t="s">
        <v>23</v>
      </c>
      <c r="D521" s="15" t="s">
        <v>24</v>
      </c>
      <c r="E521" s="15" t="s">
        <v>9</v>
      </c>
      <c r="F521" s="16">
        <v>6367500</v>
      </c>
      <c r="G521" s="16">
        <f>F521*$G$1</f>
        <v>4457250</v>
      </c>
      <c r="H521" s="17"/>
    </row>
    <row r="522" spans="1:8" ht="24.95" customHeight="1" x14ac:dyDescent="0.4">
      <c r="A522" s="13">
        <v>77672</v>
      </c>
      <c r="B522" s="14">
        <v>46234</v>
      </c>
      <c r="C522" s="15" t="s">
        <v>23</v>
      </c>
      <c r="D522" s="15" t="s">
        <v>24</v>
      </c>
      <c r="E522" s="15" t="s">
        <v>9</v>
      </c>
      <c r="F522" s="16">
        <v>4257095</v>
      </c>
      <c r="G522" s="16">
        <f>F522*$G$1</f>
        <v>2979966.5</v>
      </c>
      <c r="H522" s="17"/>
    </row>
    <row r="523" spans="1:8" ht="24.95" customHeight="1" x14ac:dyDescent="0.4">
      <c r="A523" s="13">
        <v>77308</v>
      </c>
      <c r="B523" s="14">
        <v>46196</v>
      </c>
      <c r="C523" s="15" t="s">
        <v>23</v>
      </c>
      <c r="D523" s="15" t="s">
        <v>24</v>
      </c>
      <c r="E523" s="15" t="s">
        <v>11</v>
      </c>
      <c r="F523" s="16">
        <v>116546164</v>
      </c>
      <c r="G523" s="16">
        <f>F523*$G$1</f>
        <v>81582314.799999997</v>
      </c>
      <c r="H523" s="17" t="s">
        <v>236</v>
      </c>
    </row>
    <row r="524" spans="1:8" ht="24.95" customHeight="1" x14ac:dyDescent="0.4">
      <c r="A524" s="13">
        <v>76789</v>
      </c>
      <c r="B524" s="14">
        <v>46211</v>
      </c>
      <c r="C524" s="15" t="s">
        <v>155</v>
      </c>
      <c r="D524" s="15" t="s">
        <v>24</v>
      </c>
      <c r="E524" s="15" t="s">
        <v>121</v>
      </c>
      <c r="F524" s="16">
        <v>44658000</v>
      </c>
      <c r="G524" s="16">
        <f>F524*$G$1</f>
        <v>31260599.999999996</v>
      </c>
      <c r="H524" s="17"/>
    </row>
    <row r="525" spans="1:8" ht="24.95" customHeight="1" x14ac:dyDescent="0.4">
      <c r="A525" s="13">
        <v>77437</v>
      </c>
      <c r="B525" s="14">
        <v>46209</v>
      </c>
      <c r="C525" s="15" t="s">
        <v>215</v>
      </c>
      <c r="D525" s="15" t="s">
        <v>35</v>
      </c>
      <c r="E525" s="15" t="s">
        <v>10</v>
      </c>
      <c r="F525" s="16">
        <v>247950000</v>
      </c>
      <c r="G525" s="16">
        <f>F525*$G$1</f>
        <v>173565000</v>
      </c>
      <c r="H525" s="17"/>
    </row>
    <row r="526" spans="1:8" ht="24.95" customHeight="1" x14ac:dyDescent="0.4">
      <c r="A526" s="13">
        <v>77245</v>
      </c>
      <c r="B526" s="14">
        <v>46196</v>
      </c>
      <c r="C526" s="15" t="s">
        <v>215</v>
      </c>
      <c r="D526" s="15" t="s">
        <v>35</v>
      </c>
      <c r="E526" s="15" t="s">
        <v>11</v>
      </c>
      <c r="F526" s="16">
        <v>37500000</v>
      </c>
      <c r="G526" s="16">
        <f>F526*$G$1</f>
        <v>26250000</v>
      </c>
      <c r="H526" s="17" t="s">
        <v>217</v>
      </c>
    </row>
    <row r="527" spans="1:8" ht="24.95" customHeight="1" x14ac:dyDescent="0.4">
      <c r="A527" s="13">
        <v>77495</v>
      </c>
      <c r="B527" s="14">
        <v>46198</v>
      </c>
      <c r="C527" s="15" t="s">
        <v>279</v>
      </c>
      <c r="D527" s="15" t="s">
        <v>35</v>
      </c>
      <c r="E527" s="15" t="s">
        <v>10</v>
      </c>
      <c r="F527" s="16">
        <v>22349100</v>
      </c>
      <c r="G527" s="16">
        <f>F527*$G$1</f>
        <v>15644369.999999998</v>
      </c>
      <c r="H527" s="17"/>
    </row>
    <row r="528" spans="1:8" ht="24.95" customHeight="1" x14ac:dyDescent="0.4">
      <c r="A528" s="13">
        <v>77246</v>
      </c>
      <c r="B528" s="14">
        <v>46206</v>
      </c>
      <c r="C528" s="15" t="s">
        <v>84</v>
      </c>
      <c r="D528" s="15" t="s">
        <v>35</v>
      </c>
      <c r="E528" s="15" t="s">
        <v>136</v>
      </c>
      <c r="F528" s="16">
        <v>196640930</v>
      </c>
      <c r="G528" s="16">
        <f>F528*$G$1</f>
        <v>137648651</v>
      </c>
      <c r="H528" s="17"/>
    </row>
    <row r="529" spans="1:8" ht="24.95" customHeight="1" x14ac:dyDescent="0.4">
      <c r="A529" s="13">
        <v>77626</v>
      </c>
      <c r="B529" s="14">
        <v>46220</v>
      </c>
      <c r="C529" s="15" t="s">
        <v>84</v>
      </c>
      <c r="D529" s="15" t="s">
        <v>35</v>
      </c>
      <c r="E529" s="15" t="s">
        <v>15</v>
      </c>
      <c r="F529" s="16">
        <v>112304080</v>
      </c>
      <c r="G529" s="16">
        <f>F529*$G$1</f>
        <v>78612856</v>
      </c>
      <c r="H529" s="17"/>
    </row>
    <row r="530" spans="1:8" ht="24.95" customHeight="1" x14ac:dyDescent="0.4">
      <c r="A530" s="13">
        <v>77244</v>
      </c>
      <c r="B530" s="14">
        <v>46195</v>
      </c>
      <c r="C530" s="15" t="s">
        <v>84</v>
      </c>
      <c r="D530" s="15" t="s">
        <v>35</v>
      </c>
      <c r="E530" s="15" t="s">
        <v>14</v>
      </c>
      <c r="F530" s="16">
        <v>604210676</v>
      </c>
      <c r="G530" s="16">
        <f>F530*$G$1</f>
        <v>422947473.19999999</v>
      </c>
      <c r="H530" s="17"/>
    </row>
    <row r="531" spans="1:8" ht="24.95" customHeight="1" x14ac:dyDescent="0.4">
      <c r="A531" s="13">
        <v>77399</v>
      </c>
      <c r="B531" s="14">
        <v>46197</v>
      </c>
      <c r="C531" s="15" t="s">
        <v>84</v>
      </c>
      <c r="D531" s="15" t="s">
        <v>35</v>
      </c>
      <c r="E531" s="15" t="s">
        <v>14</v>
      </c>
      <c r="F531" s="16">
        <v>197210000</v>
      </c>
      <c r="G531" s="16">
        <f>F531*$G$1</f>
        <v>138047000</v>
      </c>
      <c r="H531" s="17"/>
    </row>
    <row r="532" spans="1:8" ht="24.95" customHeight="1" x14ac:dyDescent="0.4">
      <c r="A532" s="13">
        <v>77247</v>
      </c>
      <c r="B532" s="14">
        <v>46219</v>
      </c>
      <c r="C532" s="15" t="s">
        <v>84</v>
      </c>
      <c r="D532" s="15" t="s">
        <v>35</v>
      </c>
      <c r="E532" s="15" t="s">
        <v>95</v>
      </c>
      <c r="F532" s="16">
        <v>65459750</v>
      </c>
      <c r="G532" s="16">
        <f>F532*$G$1</f>
        <v>45821825</v>
      </c>
      <c r="H532" s="17"/>
    </row>
    <row r="533" spans="1:8" ht="24.95" customHeight="1" x14ac:dyDescent="0.4">
      <c r="A533" s="13">
        <v>77150</v>
      </c>
      <c r="B533" s="14">
        <v>46197</v>
      </c>
      <c r="C533" s="15" t="s">
        <v>84</v>
      </c>
      <c r="D533" s="15" t="s">
        <v>35</v>
      </c>
      <c r="E533" s="15" t="s">
        <v>10</v>
      </c>
      <c r="F533" s="16">
        <v>197210000</v>
      </c>
      <c r="G533" s="16">
        <f>F533*$G$1</f>
        <v>138047000</v>
      </c>
      <c r="H533" s="17"/>
    </row>
    <row r="534" spans="1:8" ht="24.95" customHeight="1" x14ac:dyDescent="0.4">
      <c r="A534" s="13">
        <v>77545</v>
      </c>
      <c r="B534" s="14">
        <v>46204</v>
      </c>
      <c r="C534" s="15" t="s">
        <v>291</v>
      </c>
      <c r="D534" s="15" t="s">
        <v>35</v>
      </c>
      <c r="E534" s="15" t="s">
        <v>14</v>
      </c>
      <c r="F534" s="16">
        <v>237382960</v>
      </c>
      <c r="G534" s="16">
        <f>F534*$G$1</f>
        <v>166168072</v>
      </c>
      <c r="H534" s="17"/>
    </row>
    <row r="535" spans="1:8" ht="24.95" customHeight="1" x14ac:dyDescent="0.4">
      <c r="A535" s="13">
        <v>77151</v>
      </c>
      <c r="B535" s="14">
        <v>46226</v>
      </c>
      <c r="C535" s="15" t="s">
        <v>132</v>
      </c>
      <c r="D535" s="15" t="s">
        <v>35</v>
      </c>
      <c r="E535" s="15" t="s">
        <v>9</v>
      </c>
      <c r="F535" s="16">
        <v>53400000</v>
      </c>
      <c r="G535" s="16">
        <f>F535*$G$1</f>
        <v>37380000</v>
      </c>
      <c r="H535" s="17"/>
    </row>
    <row r="536" spans="1:8" ht="24.95" customHeight="1" x14ac:dyDescent="0.4">
      <c r="A536" s="13">
        <v>77667</v>
      </c>
      <c r="B536" s="14">
        <v>46216</v>
      </c>
      <c r="C536" s="15" t="s">
        <v>334</v>
      </c>
      <c r="D536" s="15" t="s">
        <v>35</v>
      </c>
      <c r="E536" s="15" t="s">
        <v>330</v>
      </c>
      <c r="F536" s="16">
        <v>16450500</v>
      </c>
      <c r="G536" s="16">
        <f>F536*$G$1</f>
        <v>11515350</v>
      </c>
      <c r="H536" s="17"/>
    </row>
    <row r="537" spans="1:8" ht="24.95" customHeight="1" x14ac:dyDescent="0.4">
      <c r="A537" s="13">
        <v>77668</v>
      </c>
      <c r="B537" s="14">
        <v>46217</v>
      </c>
      <c r="C537" s="15" t="s">
        <v>334</v>
      </c>
      <c r="D537" s="15" t="s">
        <v>35</v>
      </c>
      <c r="E537" s="15" t="s">
        <v>330</v>
      </c>
      <c r="F537" s="16">
        <v>16643000</v>
      </c>
      <c r="G537" s="16">
        <f>F537*$G$1</f>
        <v>11650100</v>
      </c>
      <c r="H537" s="17"/>
    </row>
    <row r="538" spans="1:8" ht="24.95" customHeight="1" x14ac:dyDescent="0.4">
      <c r="A538" s="13">
        <v>77669</v>
      </c>
      <c r="B538" s="14">
        <v>46224</v>
      </c>
      <c r="C538" s="15" t="s">
        <v>334</v>
      </c>
      <c r="D538" s="15" t="s">
        <v>35</v>
      </c>
      <c r="E538" s="15" t="s">
        <v>330</v>
      </c>
      <c r="F538" s="16">
        <v>16482000</v>
      </c>
      <c r="G538" s="16">
        <f>F538*$G$1</f>
        <v>11537400</v>
      </c>
      <c r="H538" s="17"/>
    </row>
    <row r="539" spans="1:8" ht="24.95" customHeight="1" x14ac:dyDescent="0.4">
      <c r="A539" s="13">
        <v>77670</v>
      </c>
      <c r="B539" s="14">
        <v>46225</v>
      </c>
      <c r="C539" s="15" t="s">
        <v>334</v>
      </c>
      <c r="D539" s="15" t="s">
        <v>35</v>
      </c>
      <c r="E539" s="15" t="s">
        <v>330</v>
      </c>
      <c r="F539" s="16">
        <v>18402750</v>
      </c>
      <c r="G539" s="16">
        <f>F539*$G$1</f>
        <v>12881925</v>
      </c>
      <c r="H539" s="17"/>
    </row>
    <row r="540" spans="1:8" ht="24.95" customHeight="1" x14ac:dyDescent="0.4">
      <c r="A540" s="13">
        <v>77608</v>
      </c>
      <c r="B540" s="14">
        <v>46203</v>
      </c>
      <c r="C540" s="15" t="s">
        <v>310</v>
      </c>
      <c r="D540" s="15" t="s">
        <v>17</v>
      </c>
      <c r="E540" s="15" t="s">
        <v>10</v>
      </c>
      <c r="F540" s="16">
        <v>408668600</v>
      </c>
      <c r="G540" s="16">
        <f>F540*$G$1</f>
        <v>286068020</v>
      </c>
      <c r="H540" s="17"/>
    </row>
    <row r="541" spans="1:8" ht="24.95" customHeight="1" x14ac:dyDescent="0.4">
      <c r="A541" s="13">
        <v>77438</v>
      </c>
      <c r="B541" s="14">
        <v>46219</v>
      </c>
      <c r="C541" s="15" t="s">
        <v>16</v>
      </c>
      <c r="D541" s="15" t="s">
        <v>17</v>
      </c>
      <c r="E541" s="15" t="s">
        <v>45</v>
      </c>
      <c r="F541" s="16">
        <v>420388500</v>
      </c>
      <c r="G541" s="16">
        <f>F541*$G$1</f>
        <v>294271950</v>
      </c>
      <c r="H541" s="17"/>
    </row>
    <row r="542" spans="1:8" ht="24.95" customHeight="1" x14ac:dyDescent="0.4">
      <c r="A542" s="13">
        <v>77439</v>
      </c>
      <c r="B542" s="14">
        <v>46212</v>
      </c>
      <c r="C542" s="15" t="s">
        <v>16</v>
      </c>
      <c r="D542" s="15" t="s">
        <v>17</v>
      </c>
      <c r="E542" s="15" t="s">
        <v>45</v>
      </c>
      <c r="F542" s="16">
        <v>710640000</v>
      </c>
      <c r="G542" s="16">
        <f>F542*$G$1</f>
        <v>497447999.99999994</v>
      </c>
      <c r="H542" s="17"/>
    </row>
    <row r="543" spans="1:8" ht="24.95" customHeight="1" x14ac:dyDescent="0.4">
      <c r="A543" s="13">
        <v>76381</v>
      </c>
      <c r="B543" s="14">
        <v>46322</v>
      </c>
      <c r="C543" s="15" t="s">
        <v>16</v>
      </c>
      <c r="D543" s="15" t="s">
        <v>17</v>
      </c>
      <c r="E543" s="15" t="s">
        <v>8</v>
      </c>
      <c r="F543" s="16">
        <v>91882500</v>
      </c>
      <c r="G543" s="16">
        <f>F543*$G$1</f>
        <v>64317749.999999993</v>
      </c>
      <c r="H543" s="17"/>
    </row>
    <row r="544" spans="1:8" ht="24.95" customHeight="1" x14ac:dyDescent="0.4">
      <c r="A544" s="13">
        <v>77103</v>
      </c>
      <c r="B544" s="14">
        <v>46196</v>
      </c>
      <c r="C544" s="15" t="s">
        <v>16</v>
      </c>
      <c r="D544" s="15" t="s">
        <v>17</v>
      </c>
      <c r="E544" s="15" t="s">
        <v>8</v>
      </c>
      <c r="F544" s="16">
        <v>51405000</v>
      </c>
      <c r="G544" s="16">
        <f>F544*$G$1</f>
        <v>35983500</v>
      </c>
      <c r="H544" s="17"/>
    </row>
    <row r="545" spans="1:8" ht="24.95" customHeight="1" x14ac:dyDescent="0.4">
      <c r="A545" s="13">
        <v>77828</v>
      </c>
      <c r="B545" s="14">
        <v>46212</v>
      </c>
      <c r="C545" s="15" t="s">
        <v>16</v>
      </c>
      <c r="D545" s="15" t="s">
        <v>17</v>
      </c>
      <c r="E545" s="15" t="s">
        <v>8</v>
      </c>
      <c r="F545" s="16">
        <v>112680000</v>
      </c>
      <c r="G545" s="16">
        <f>F545*$G$1</f>
        <v>78876000</v>
      </c>
      <c r="H545" s="17"/>
    </row>
    <row r="546" spans="1:8" ht="24.95" customHeight="1" x14ac:dyDescent="0.4">
      <c r="A546" s="13">
        <v>77829</v>
      </c>
      <c r="B546" s="14">
        <v>46233</v>
      </c>
      <c r="C546" s="15" t="s">
        <v>16</v>
      </c>
      <c r="D546" s="15" t="s">
        <v>17</v>
      </c>
      <c r="E546" s="15" t="s">
        <v>8</v>
      </c>
      <c r="F546" s="16">
        <v>73425000</v>
      </c>
      <c r="G546" s="16">
        <f>F546*$G$1</f>
        <v>51397500</v>
      </c>
      <c r="H546" s="17"/>
    </row>
    <row r="547" spans="1:8" ht="24.95" customHeight="1" x14ac:dyDescent="0.4">
      <c r="A547" s="13">
        <v>74988</v>
      </c>
      <c r="B547" s="14">
        <v>46230</v>
      </c>
      <c r="C547" s="15" t="s">
        <v>16</v>
      </c>
      <c r="D547" s="15" t="s">
        <v>17</v>
      </c>
      <c r="E547" s="15" t="s">
        <v>59</v>
      </c>
      <c r="F547" s="16">
        <v>190060316</v>
      </c>
      <c r="G547" s="16">
        <f>F547*$G$1</f>
        <v>133042221.19999999</v>
      </c>
      <c r="H547" s="17"/>
    </row>
    <row r="548" spans="1:8" ht="24.95" customHeight="1" x14ac:dyDescent="0.4">
      <c r="A548" s="13">
        <v>75431</v>
      </c>
      <c r="B548" s="14">
        <v>46231</v>
      </c>
      <c r="C548" s="15" t="s">
        <v>16</v>
      </c>
      <c r="D548" s="15" t="s">
        <v>17</v>
      </c>
      <c r="E548" s="15" t="s">
        <v>14</v>
      </c>
      <c r="F548" s="16">
        <v>232905000</v>
      </c>
      <c r="G548" s="16">
        <v>232905000</v>
      </c>
      <c r="H548" s="17"/>
    </row>
    <row r="549" spans="1:8" ht="24.95" customHeight="1" x14ac:dyDescent="0.4">
      <c r="A549" s="13">
        <v>77105</v>
      </c>
      <c r="B549" s="14">
        <v>46280</v>
      </c>
      <c r="C549" s="15" t="s">
        <v>16</v>
      </c>
      <c r="D549" s="15" t="s">
        <v>17</v>
      </c>
      <c r="E549" s="15" t="s">
        <v>14</v>
      </c>
      <c r="F549" s="16">
        <v>239391547.74000001</v>
      </c>
      <c r="G549" s="16">
        <f>F549*$G$1</f>
        <v>167574083.41799998</v>
      </c>
      <c r="H549" s="17"/>
    </row>
    <row r="550" spans="1:8" ht="24.95" customHeight="1" x14ac:dyDescent="0.4">
      <c r="A550" s="13">
        <v>77155</v>
      </c>
      <c r="B550" s="14">
        <v>46210</v>
      </c>
      <c r="C550" s="15" t="s">
        <v>16</v>
      </c>
      <c r="D550" s="15" t="s">
        <v>17</v>
      </c>
      <c r="E550" s="15" t="s">
        <v>14</v>
      </c>
      <c r="F550" s="16">
        <v>158459548</v>
      </c>
      <c r="G550" s="16">
        <f>F550*$G$1</f>
        <v>110921683.59999999</v>
      </c>
      <c r="H550" s="17"/>
    </row>
    <row r="551" spans="1:8" ht="24.95" customHeight="1" x14ac:dyDescent="0.4">
      <c r="A551" s="13">
        <v>77240</v>
      </c>
      <c r="B551" s="14">
        <v>46280</v>
      </c>
      <c r="C551" s="15" t="s">
        <v>16</v>
      </c>
      <c r="D551" s="15" t="s">
        <v>17</v>
      </c>
      <c r="E551" s="15" t="s">
        <v>14</v>
      </c>
      <c r="F551" s="16">
        <v>239391547</v>
      </c>
      <c r="G551" s="16">
        <f>F551*$G$1</f>
        <v>167574082.89999998</v>
      </c>
      <c r="H551" s="17"/>
    </row>
    <row r="552" spans="1:8" ht="24.95" customHeight="1" x14ac:dyDescent="0.4">
      <c r="A552" s="13">
        <v>77441</v>
      </c>
      <c r="B552" s="14">
        <v>46199</v>
      </c>
      <c r="C552" s="15" t="s">
        <v>16</v>
      </c>
      <c r="D552" s="15" t="s">
        <v>17</v>
      </c>
      <c r="E552" s="15" t="s">
        <v>14</v>
      </c>
      <c r="F552" s="16">
        <v>135142531</v>
      </c>
      <c r="G552" s="16">
        <f>F552*$G$1</f>
        <v>94599771.699999988</v>
      </c>
      <c r="H552" s="17"/>
    </row>
    <row r="553" spans="1:8" ht="24.95" customHeight="1" x14ac:dyDescent="0.4">
      <c r="A553" s="13">
        <v>77830</v>
      </c>
      <c r="B553" s="14">
        <v>46205</v>
      </c>
      <c r="C553" s="15" t="s">
        <v>16</v>
      </c>
      <c r="D553" s="15" t="s">
        <v>17</v>
      </c>
      <c r="E553" s="15" t="s">
        <v>14</v>
      </c>
      <c r="F553" s="16">
        <v>292210500</v>
      </c>
      <c r="G553" s="16">
        <f>F553*$G$1</f>
        <v>204547350</v>
      </c>
      <c r="H553" s="17"/>
    </row>
    <row r="554" spans="1:8" ht="24.95" customHeight="1" x14ac:dyDescent="0.4">
      <c r="A554" s="13">
        <v>77834</v>
      </c>
      <c r="B554" s="14">
        <v>46198</v>
      </c>
      <c r="C554" s="15" t="s">
        <v>16</v>
      </c>
      <c r="D554" s="15" t="s">
        <v>17</v>
      </c>
      <c r="E554" s="15" t="s">
        <v>14</v>
      </c>
      <c r="F554" s="16">
        <v>169554000</v>
      </c>
      <c r="G554" s="16">
        <f>F554*$G$1</f>
        <v>118687799.99999999</v>
      </c>
      <c r="H554" s="17"/>
    </row>
    <row r="555" spans="1:8" ht="24.95" customHeight="1" x14ac:dyDescent="0.4">
      <c r="A555" s="13">
        <v>77629</v>
      </c>
      <c r="B555" s="14">
        <v>46268</v>
      </c>
      <c r="C555" s="15" t="s">
        <v>16</v>
      </c>
      <c r="D555" s="15" t="s">
        <v>17</v>
      </c>
      <c r="E555" s="15" t="s">
        <v>30</v>
      </c>
      <c r="F555" s="16">
        <v>146918940</v>
      </c>
      <c r="G555" s="16">
        <f>F555*$G$1</f>
        <v>102843258</v>
      </c>
      <c r="H555" s="17"/>
    </row>
    <row r="556" spans="1:8" ht="24.95" customHeight="1" x14ac:dyDescent="0.4">
      <c r="A556" s="13">
        <v>77832</v>
      </c>
      <c r="B556" s="14">
        <v>46209</v>
      </c>
      <c r="C556" s="15" t="s">
        <v>16</v>
      </c>
      <c r="D556" s="15" t="s">
        <v>17</v>
      </c>
      <c r="E556" s="15" t="s">
        <v>44</v>
      </c>
      <c r="F556" s="16">
        <v>205740000</v>
      </c>
      <c r="G556" s="16">
        <f>F556*$G$1</f>
        <v>144018000</v>
      </c>
      <c r="H556" s="17"/>
    </row>
    <row r="557" spans="1:8" ht="24.95" customHeight="1" x14ac:dyDescent="0.4">
      <c r="A557" s="13">
        <v>77836</v>
      </c>
      <c r="B557" s="14">
        <v>46198</v>
      </c>
      <c r="C557" s="15" t="s">
        <v>16</v>
      </c>
      <c r="D557" s="15" t="s">
        <v>17</v>
      </c>
      <c r="E557" s="15" t="s">
        <v>44</v>
      </c>
      <c r="F557" s="16">
        <v>344352000</v>
      </c>
      <c r="G557" s="16">
        <f>F557*$G$1</f>
        <v>241046399.99999997</v>
      </c>
      <c r="H557" s="17"/>
    </row>
    <row r="558" spans="1:8" ht="24.95" customHeight="1" x14ac:dyDescent="0.4">
      <c r="A558" s="13">
        <v>76954</v>
      </c>
      <c r="B558" s="14">
        <v>46197</v>
      </c>
      <c r="C558" s="15" t="s">
        <v>16</v>
      </c>
      <c r="D558" s="15" t="s">
        <v>17</v>
      </c>
      <c r="E558" s="15" t="s">
        <v>11</v>
      </c>
      <c r="F558" s="16">
        <v>76556000</v>
      </c>
      <c r="G558" s="16">
        <f>F558*$G$1</f>
        <v>53589200</v>
      </c>
      <c r="H558" s="17" t="s">
        <v>164</v>
      </c>
    </row>
    <row r="559" spans="1:8" ht="24.95" customHeight="1" x14ac:dyDescent="0.4">
      <c r="A559" s="13">
        <v>77628</v>
      </c>
      <c r="B559" s="14">
        <v>46198</v>
      </c>
      <c r="C559" s="15" t="s">
        <v>16</v>
      </c>
      <c r="D559" s="15" t="s">
        <v>17</v>
      </c>
      <c r="E559" s="15" t="s">
        <v>11</v>
      </c>
      <c r="F559" s="16">
        <v>36700000</v>
      </c>
      <c r="G559" s="16">
        <f>F559*$G$1</f>
        <v>25690000</v>
      </c>
      <c r="H559" s="17" t="s">
        <v>318</v>
      </c>
    </row>
    <row r="560" spans="1:8" ht="24.95" customHeight="1" x14ac:dyDescent="0.4">
      <c r="A560" s="13">
        <v>76758</v>
      </c>
      <c r="B560" s="14">
        <v>46232</v>
      </c>
      <c r="C560" s="15" t="s">
        <v>150</v>
      </c>
      <c r="D560" s="15" t="s">
        <v>17</v>
      </c>
      <c r="E560" s="15" t="s">
        <v>119</v>
      </c>
      <c r="F560" s="16">
        <v>232773510</v>
      </c>
      <c r="G560" s="16">
        <f>F560*$G$1</f>
        <v>162941457</v>
      </c>
      <c r="H560" s="17"/>
    </row>
    <row r="561" spans="1:8" ht="24.95" customHeight="1" x14ac:dyDescent="0.4">
      <c r="A561" s="13">
        <v>77595</v>
      </c>
      <c r="B561" s="14">
        <v>46212</v>
      </c>
      <c r="C561" s="15" t="s">
        <v>150</v>
      </c>
      <c r="D561" s="15" t="s">
        <v>17</v>
      </c>
      <c r="E561" s="15" t="s">
        <v>11</v>
      </c>
      <c r="F561" s="16">
        <v>9890000</v>
      </c>
      <c r="G561" s="16">
        <f>F561*$G$1</f>
        <v>6923000</v>
      </c>
      <c r="H561" s="17" t="s">
        <v>306</v>
      </c>
    </row>
    <row r="562" spans="1:8" ht="24.95" customHeight="1" x14ac:dyDescent="0.4">
      <c r="A562" s="13">
        <v>77440</v>
      </c>
      <c r="B562" s="14">
        <v>46199</v>
      </c>
      <c r="C562" s="15" t="s">
        <v>152</v>
      </c>
      <c r="D562" s="15" t="s">
        <v>17</v>
      </c>
      <c r="E562" s="15" t="s">
        <v>14</v>
      </c>
      <c r="F562" s="16">
        <v>597862500</v>
      </c>
      <c r="G562" s="16">
        <f>F562*$G$1</f>
        <v>418503750</v>
      </c>
      <c r="H562" s="17"/>
    </row>
    <row r="563" spans="1:8" ht="24.95" customHeight="1" x14ac:dyDescent="0.4">
      <c r="A563" s="13">
        <v>77833</v>
      </c>
      <c r="B563" s="14">
        <v>46198</v>
      </c>
      <c r="C563" s="15" t="s">
        <v>152</v>
      </c>
      <c r="D563" s="15" t="s">
        <v>17</v>
      </c>
      <c r="E563" s="15" t="s">
        <v>14</v>
      </c>
      <c r="F563" s="16">
        <v>606863000</v>
      </c>
      <c r="G563" s="16">
        <f>F563*$G$1</f>
        <v>424804100</v>
      </c>
      <c r="H563" s="17"/>
    </row>
    <row r="564" spans="1:8" ht="24.95" customHeight="1" x14ac:dyDescent="0.4">
      <c r="A564" s="13">
        <v>77611</v>
      </c>
      <c r="B564" s="14">
        <v>46225</v>
      </c>
      <c r="C564" s="15" t="s">
        <v>152</v>
      </c>
      <c r="D564" s="15" t="s">
        <v>17</v>
      </c>
      <c r="E564" s="15" t="s">
        <v>30</v>
      </c>
      <c r="F564" s="16">
        <v>17885000</v>
      </c>
      <c r="G564" s="16">
        <f>F564*$G$1</f>
        <v>12519500</v>
      </c>
      <c r="H564" s="17"/>
    </row>
    <row r="565" spans="1:8" ht="24.95" customHeight="1" x14ac:dyDescent="0.4">
      <c r="A565" s="13">
        <v>76993</v>
      </c>
      <c r="B565" s="14">
        <v>46203</v>
      </c>
      <c r="C565" s="15" t="s">
        <v>152</v>
      </c>
      <c r="D565" s="15" t="s">
        <v>17</v>
      </c>
      <c r="E565" s="15" t="s">
        <v>9</v>
      </c>
      <c r="F565" s="16">
        <v>26880000</v>
      </c>
      <c r="G565" s="16">
        <f>F565*$G$1</f>
        <v>18816000</v>
      </c>
      <c r="H565" s="17"/>
    </row>
    <row r="566" spans="1:8" ht="24.95" customHeight="1" x14ac:dyDescent="0.4">
      <c r="A566" s="13">
        <v>77152</v>
      </c>
      <c r="B566" s="14">
        <v>46268</v>
      </c>
      <c r="C566" s="15" t="s">
        <v>63</v>
      </c>
      <c r="D566" s="15" t="s">
        <v>17</v>
      </c>
      <c r="E566" s="15" t="s">
        <v>197</v>
      </c>
      <c r="F566" s="16">
        <v>9332927.25</v>
      </c>
      <c r="G566" s="16">
        <f>F566*$G$1</f>
        <v>6533049.0749999993</v>
      </c>
      <c r="H566" s="17"/>
    </row>
    <row r="567" spans="1:8" ht="24.95" customHeight="1" x14ac:dyDescent="0.4">
      <c r="A567" s="13">
        <v>77154</v>
      </c>
      <c r="B567" s="14">
        <v>46253</v>
      </c>
      <c r="C567" s="15" t="s">
        <v>63</v>
      </c>
      <c r="D567" s="15" t="s">
        <v>17</v>
      </c>
      <c r="E567" s="15" t="s">
        <v>8</v>
      </c>
      <c r="F567" s="16">
        <v>170602138.06</v>
      </c>
      <c r="G567" s="16">
        <f>F567*$G$1</f>
        <v>119421496.64199999</v>
      </c>
      <c r="H567" s="17"/>
    </row>
    <row r="568" spans="1:8" ht="24.95" customHeight="1" x14ac:dyDescent="0.4">
      <c r="A568" s="13">
        <v>76794</v>
      </c>
      <c r="B568" s="14">
        <v>46213</v>
      </c>
      <c r="C568" s="15" t="s">
        <v>63</v>
      </c>
      <c r="D568" s="15" t="s">
        <v>17</v>
      </c>
      <c r="E568" s="15" t="s">
        <v>14</v>
      </c>
      <c r="F568" s="16">
        <v>96813358.209999993</v>
      </c>
      <c r="G568" s="16">
        <f>F568*$G$1</f>
        <v>67769350.746999994</v>
      </c>
      <c r="H568" s="17"/>
    </row>
    <row r="569" spans="1:8" ht="24.95" customHeight="1" x14ac:dyDescent="0.4">
      <c r="A569" s="13">
        <v>76795</v>
      </c>
      <c r="B569" s="14">
        <v>46213</v>
      </c>
      <c r="C569" s="15" t="s">
        <v>63</v>
      </c>
      <c r="D569" s="15" t="s">
        <v>17</v>
      </c>
      <c r="E569" s="15" t="s">
        <v>14</v>
      </c>
      <c r="F569" s="16">
        <v>102864193.09999999</v>
      </c>
      <c r="G569" s="16">
        <f>F569*$G$1</f>
        <v>72004935.169999987</v>
      </c>
      <c r="H569" s="17"/>
    </row>
    <row r="570" spans="1:8" ht="24.95" customHeight="1" x14ac:dyDescent="0.4">
      <c r="A570" s="13">
        <v>77153</v>
      </c>
      <c r="B570" s="14">
        <v>46273</v>
      </c>
      <c r="C570" s="15" t="s">
        <v>63</v>
      </c>
      <c r="D570" s="15" t="s">
        <v>17</v>
      </c>
      <c r="E570" s="15" t="s">
        <v>14</v>
      </c>
      <c r="F570" s="16">
        <v>280000000</v>
      </c>
      <c r="G570" s="16">
        <f>F570*$G$1</f>
        <v>196000000</v>
      </c>
      <c r="H570" s="17"/>
    </row>
    <row r="571" spans="1:8" ht="24.95" customHeight="1" x14ac:dyDescent="0.4">
      <c r="A571" s="13">
        <v>77627</v>
      </c>
      <c r="B571" s="14">
        <v>46225</v>
      </c>
      <c r="C571" s="15" t="s">
        <v>317</v>
      </c>
      <c r="D571" s="15" t="s">
        <v>17</v>
      </c>
      <c r="E571" s="15" t="s">
        <v>45</v>
      </c>
      <c r="F571" s="16">
        <v>43912500</v>
      </c>
      <c r="G571" s="16">
        <f>F571*$G$1</f>
        <v>30738749.999999996</v>
      </c>
      <c r="H571" s="17"/>
    </row>
    <row r="572" spans="1:8" ht="24.95" customHeight="1" x14ac:dyDescent="0.4">
      <c r="A572" s="13">
        <v>77630</v>
      </c>
      <c r="B572" s="14">
        <v>46225</v>
      </c>
      <c r="C572" s="15" t="s">
        <v>317</v>
      </c>
      <c r="D572" s="15" t="s">
        <v>17</v>
      </c>
      <c r="E572" s="15" t="s">
        <v>45</v>
      </c>
      <c r="F572" s="16">
        <v>17565000</v>
      </c>
      <c r="G572" s="16">
        <f>F572*$G$1</f>
        <v>12295500</v>
      </c>
      <c r="H572" s="17"/>
    </row>
    <row r="573" spans="1:8" ht="24.95" customHeight="1" x14ac:dyDescent="0.4">
      <c r="A573" s="13">
        <v>77835</v>
      </c>
      <c r="B573" s="14">
        <v>46280</v>
      </c>
      <c r="C573" s="15" t="s">
        <v>317</v>
      </c>
      <c r="D573" s="15" t="s">
        <v>17</v>
      </c>
      <c r="E573" s="15" t="s">
        <v>8</v>
      </c>
      <c r="F573" s="16">
        <v>120305200</v>
      </c>
      <c r="G573" s="16">
        <f>F573*$G$1</f>
        <v>84213640</v>
      </c>
      <c r="H573" s="17"/>
    </row>
    <row r="574" spans="1:8" ht="24.95" customHeight="1" x14ac:dyDescent="0.4">
      <c r="A574" s="13">
        <v>77831</v>
      </c>
      <c r="B574" s="14">
        <v>46210</v>
      </c>
      <c r="C574" s="15" t="s">
        <v>317</v>
      </c>
      <c r="D574" s="15" t="s">
        <v>17</v>
      </c>
      <c r="E574" s="15" t="s">
        <v>14</v>
      </c>
      <c r="F574" s="16">
        <v>32058000</v>
      </c>
      <c r="G574" s="16">
        <f>F574*$G$1</f>
        <v>22440600</v>
      </c>
      <c r="H574" s="17"/>
    </row>
    <row r="575" spans="1:8" ht="24.95" customHeight="1" x14ac:dyDescent="0.4">
      <c r="A575" s="13">
        <v>77666</v>
      </c>
      <c r="B575" s="14">
        <v>46198</v>
      </c>
      <c r="C575" s="15" t="s">
        <v>173</v>
      </c>
      <c r="D575" s="15" t="s">
        <v>65</v>
      </c>
      <c r="E575" s="15" t="s">
        <v>271</v>
      </c>
      <c r="F575" s="16">
        <v>323977855</v>
      </c>
      <c r="G575" s="16">
        <f>F575*$G$1</f>
        <v>226784498.5</v>
      </c>
      <c r="H575" s="17"/>
    </row>
    <row r="576" spans="1:8" ht="24.95" customHeight="1" x14ac:dyDescent="0.4">
      <c r="A576" s="13">
        <v>76998</v>
      </c>
      <c r="B576" s="14">
        <v>46197</v>
      </c>
      <c r="C576" s="15" t="s">
        <v>173</v>
      </c>
      <c r="D576" s="15" t="s">
        <v>65</v>
      </c>
      <c r="E576" s="15" t="s">
        <v>172</v>
      </c>
      <c r="F576" s="16">
        <v>700894150</v>
      </c>
      <c r="G576" s="16">
        <f>F576*$G$1</f>
        <v>490625904.99999994</v>
      </c>
      <c r="H576" s="17"/>
    </row>
    <row r="577" spans="1:8" ht="24.95" customHeight="1" x14ac:dyDescent="0.4">
      <c r="A577" s="13">
        <v>77072</v>
      </c>
      <c r="B577" s="14">
        <v>46197</v>
      </c>
      <c r="C577" s="15" t="s">
        <v>192</v>
      </c>
      <c r="D577" s="15" t="s">
        <v>65</v>
      </c>
      <c r="E577" s="15" t="s">
        <v>45</v>
      </c>
      <c r="F577" s="16">
        <v>13933333</v>
      </c>
      <c r="G577" s="16">
        <f>F577*$G$1</f>
        <v>9753333.0999999996</v>
      </c>
      <c r="H577" s="17"/>
    </row>
    <row r="578" spans="1:8" ht="24.95" customHeight="1" x14ac:dyDescent="0.4">
      <c r="A578" s="13">
        <v>77551</v>
      </c>
      <c r="B578" s="14">
        <v>46197</v>
      </c>
      <c r="C578" s="15" t="s">
        <v>192</v>
      </c>
      <c r="D578" s="15" t="s">
        <v>65</v>
      </c>
      <c r="E578" s="15" t="s">
        <v>10</v>
      </c>
      <c r="F578" s="16">
        <v>22032000</v>
      </c>
      <c r="G578" s="16">
        <f>F578*$G$1</f>
        <v>15422399.999999998</v>
      </c>
      <c r="H578" s="17"/>
    </row>
    <row r="579" spans="1:8" ht="24.95" customHeight="1" x14ac:dyDescent="0.4">
      <c r="A579" s="13">
        <v>77665</v>
      </c>
      <c r="B579" s="14">
        <v>46198</v>
      </c>
      <c r="C579" s="15" t="s">
        <v>333</v>
      </c>
      <c r="D579" s="15" t="s">
        <v>65</v>
      </c>
      <c r="E579" s="15" t="s">
        <v>10</v>
      </c>
      <c r="F579" s="16">
        <v>21840000</v>
      </c>
      <c r="G579" s="16">
        <f>F579*$G$1</f>
        <v>15287999.999999998</v>
      </c>
      <c r="H579" s="17"/>
    </row>
    <row r="580" spans="1:8" ht="24.95" customHeight="1" x14ac:dyDescent="0.4">
      <c r="A580" s="13">
        <v>76944</v>
      </c>
      <c r="B580" s="14">
        <v>46199</v>
      </c>
      <c r="C580" s="15" t="s">
        <v>52</v>
      </c>
      <c r="D580" s="15" t="s">
        <v>91</v>
      </c>
      <c r="E580" s="15" t="s">
        <v>59</v>
      </c>
      <c r="F580" s="16">
        <v>248546000</v>
      </c>
      <c r="G580" s="16">
        <v>248546000</v>
      </c>
      <c r="H580" s="17"/>
    </row>
    <row r="581" spans="1:8" ht="24.95" customHeight="1" x14ac:dyDescent="0.4">
      <c r="A581" s="13">
        <v>77591</v>
      </c>
      <c r="B581" s="14">
        <v>46197</v>
      </c>
      <c r="C581" s="15" t="s">
        <v>52</v>
      </c>
      <c r="D581" s="15" t="s">
        <v>91</v>
      </c>
      <c r="E581" s="15" t="s">
        <v>14</v>
      </c>
      <c r="F581" s="16">
        <v>480511440</v>
      </c>
      <c r="G581" s="16">
        <f>F581*$G$1</f>
        <v>336358008</v>
      </c>
      <c r="H581" s="17"/>
    </row>
    <row r="582" spans="1:8" ht="24.95" customHeight="1" x14ac:dyDescent="0.4">
      <c r="A582" s="13">
        <v>77631</v>
      </c>
      <c r="B582" s="14">
        <v>46227</v>
      </c>
      <c r="C582" s="15" t="s">
        <v>52</v>
      </c>
      <c r="D582" s="15" t="s">
        <v>91</v>
      </c>
      <c r="E582" s="15" t="s">
        <v>14</v>
      </c>
      <c r="F582" s="16">
        <v>1156772646</v>
      </c>
      <c r="G582" s="16">
        <v>1156772646</v>
      </c>
      <c r="H582" s="17"/>
    </row>
    <row r="583" spans="1:8" ht="24.95" customHeight="1" x14ac:dyDescent="0.4">
      <c r="A583" s="13">
        <v>77398</v>
      </c>
      <c r="B583" s="14">
        <v>46191</v>
      </c>
      <c r="C583" s="15" t="s">
        <v>52</v>
      </c>
      <c r="D583" s="15" t="s">
        <v>91</v>
      </c>
      <c r="E583" s="15" t="s">
        <v>30</v>
      </c>
      <c r="F583" s="16">
        <v>76128780</v>
      </c>
      <c r="G583" s="16">
        <f>F583*$G$1</f>
        <v>53290146</v>
      </c>
      <c r="H583" s="17"/>
    </row>
    <row r="584" spans="1:8" ht="24.95" customHeight="1" x14ac:dyDescent="0.4">
      <c r="A584" s="13">
        <v>77000</v>
      </c>
      <c r="B584" s="14">
        <v>46192</v>
      </c>
      <c r="C584" s="15" t="s">
        <v>52</v>
      </c>
      <c r="D584" s="15" t="s">
        <v>91</v>
      </c>
      <c r="E584" s="15" t="s">
        <v>56</v>
      </c>
      <c r="F584" s="16">
        <v>50716000</v>
      </c>
      <c r="G584" s="16">
        <f>F584*$G$1</f>
        <v>35501200</v>
      </c>
      <c r="H584" s="17"/>
    </row>
    <row r="585" spans="1:8" ht="24.95" customHeight="1" x14ac:dyDescent="0.4">
      <c r="A585" s="13">
        <v>77644</v>
      </c>
      <c r="B585" s="14">
        <v>46199</v>
      </c>
      <c r="C585" s="15" t="s">
        <v>52</v>
      </c>
      <c r="D585" s="15" t="s">
        <v>91</v>
      </c>
      <c r="E585" s="15" t="s">
        <v>37</v>
      </c>
      <c r="F585" s="16">
        <v>249200000</v>
      </c>
      <c r="G585" s="16">
        <v>249200000</v>
      </c>
      <c r="H585" s="17"/>
    </row>
    <row r="586" spans="1:8" ht="24.95" customHeight="1" x14ac:dyDescent="0.4">
      <c r="A586" s="13">
        <v>77442</v>
      </c>
      <c r="B586" s="14">
        <v>46230</v>
      </c>
      <c r="C586" s="15" t="s">
        <v>180</v>
      </c>
      <c r="D586" s="15" t="s">
        <v>91</v>
      </c>
      <c r="E586" s="15" t="s">
        <v>9</v>
      </c>
      <c r="F586" s="16">
        <v>100894000</v>
      </c>
      <c r="G586" s="16">
        <f>F586*$G$1</f>
        <v>70625800</v>
      </c>
      <c r="H586" s="17"/>
    </row>
    <row r="587" spans="1:8" ht="24.95" customHeight="1" x14ac:dyDescent="0.4">
      <c r="A587" s="13">
        <v>76999</v>
      </c>
      <c r="B587" s="14">
        <v>46192</v>
      </c>
      <c r="C587" s="15" t="s">
        <v>174</v>
      </c>
      <c r="D587" s="15" t="s">
        <v>91</v>
      </c>
      <c r="E587" s="15" t="s">
        <v>14</v>
      </c>
      <c r="F587" s="16">
        <v>704450000</v>
      </c>
      <c r="G587" s="16">
        <f>F587*$G$1</f>
        <v>493114999.99999994</v>
      </c>
      <c r="H587" s="17"/>
    </row>
    <row r="588" spans="1:8" ht="24.95" customHeight="1" x14ac:dyDescent="0.4">
      <c r="A588" s="13">
        <v>77645</v>
      </c>
      <c r="B588" s="14">
        <v>46197</v>
      </c>
      <c r="C588" s="15" t="s">
        <v>326</v>
      </c>
      <c r="D588" s="15" t="s">
        <v>91</v>
      </c>
      <c r="E588" s="15" t="s">
        <v>10</v>
      </c>
      <c r="F588" s="16">
        <v>366156915</v>
      </c>
      <c r="G588" s="16">
        <v>366156915</v>
      </c>
      <c r="H588" s="17"/>
    </row>
    <row r="589" spans="1:8" ht="24.95" customHeight="1" x14ac:dyDescent="0.4">
      <c r="A589" s="13">
        <v>77837</v>
      </c>
      <c r="B589" s="14">
        <v>46206</v>
      </c>
      <c r="C589" s="15" t="s">
        <v>52</v>
      </c>
      <c r="D589" s="15" t="s">
        <v>360</v>
      </c>
      <c r="E589" s="15" t="s">
        <v>14</v>
      </c>
      <c r="F589" s="16">
        <v>900620000</v>
      </c>
      <c r="G589" s="16">
        <f>F589*$G$1</f>
        <v>630434000</v>
      </c>
      <c r="H589" s="17"/>
    </row>
    <row r="590" spans="1:8" ht="24.95" customHeight="1" x14ac:dyDescent="0.4">
      <c r="A590" s="13">
        <v>77768</v>
      </c>
      <c r="B590" s="14">
        <v>46213</v>
      </c>
      <c r="C590" s="15" t="s">
        <v>52</v>
      </c>
      <c r="D590" s="15" t="s">
        <v>360</v>
      </c>
      <c r="E590" s="15" t="s">
        <v>361</v>
      </c>
      <c r="F590" s="16">
        <v>857822500</v>
      </c>
      <c r="G590" s="16">
        <v>857822500</v>
      </c>
      <c r="H590" s="17"/>
    </row>
    <row r="591" spans="1:8" ht="24.95" customHeight="1" x14ac:dyDescent="0.4">
      <c r="A591" s="13">
        <v>77821</v>
      </c>
      <c r="B591" s="14">
        <v>46206</v>
      </c>
      <c r="C591" s="15" t="s">
        <v>52</v>
      </c>
      <c r="D591" s="15" t="s">
        <v>360</v>
      </c>
      <c r="E591" s="15" t="s">
        <v>37</v>
      </c>
      <c r="F591" s="16">
        <v>58452414</v>
      </c>
      <c r="G591" s="16">
        <f>F591*$G$1</f>
        <v>40916689.799999997</v>
      </c>
      <c r="H591" s="17"/>
    </row>
    <row r="592" spans="1:8" ht="24.95" customHeight="1" x14ac:dyDescent="0.4">
      <c r="A592" s="13">
        <v>72478</v>
      </c>
      <c r="B592" s="14">
        <v>46310</v>
      </c>
      <c r="C592" s="15" t="s">
        <v>52</v>
      </c>
      <c r="D592" s="15" t="s">
        <v>43</v>
      </c>
      <c r="E592" s="15" t="s">
        <v>14</v>
      </c>
      <c r="F592" s="16">
        <v>3357260000</v>
      </c>
      <c r="G592" s="16">
        <f>F592*$G$1</f>
        <v>2350082000</v>
      </c>
      <c r="H592" s="17"/>
    </row>
    <row r="593" spans="1:8" ht="24.95" customHeight="1" x14ac:dyDescent="0.4">
      <c r="A593" s="13">
        <v>77427</v>
      </c>
      <c r="B593" s="14">
        <v>46198</v>
      </c>
      <c r="C593" s="15" t="s">
        <v>79</v>
      </c>
      <c r="D593" s="15" t="s">
        <v>27</v>
      </c>
      <c r="E593" s="15" t="s">
        <v>8</v>
      </c>
      <c r="F593" s="16">
        <v>73347040</v>
      </c>
      <c r="G593" s="16">
        <f>F593*$G$1</f>
        <v>51342928</v>
      </c>
      <c r="H593" s="17"/>
    </row>
    <row r="594" spans="1:8" ht="24.95" customHeight="1" x14ac:dyDescent="0.4">
      <c r="A594" s="13">
        <v>77825</v>
      </c>
      <c r="B594" s="14">
        <v>46205</v>
      </c>
      <c r="C594" s="15" t="s">
        <v>79</v>
      </c>
      <c r="D594" s="15" t="s">
        <v>27</v>
      </c>
      <c r="E594" s="15" t="s">
        <v>8</v>
      </c>
      <c r="F594" s="16">
        <v>154372320</v>
      </c>
      <c r="G594" s="16">
        <f>F594*$G$1</f>
        <v>108060624</v>
      </c>
      <c r="H594" s="17"/>
    </row>
    <row r="595" spans="1:8" ht="24.95" customHeight="1" x14ac:dyDescent="0.4">
      <c r="A595" s="13">
        <v>76952</v>
      </c>
      <c r="B595" s="14">
        <v>46196</v>
      </c>
      <c r="C595" s="15" t="s">
        <v>79</v>
      </c>
      <c r="D595" s="15" t="s">
        <v>27</v>
      </c>
      <c r="E595" s="15" t="s">
        <v>15</v>
      </c>
      <c r="F595" s="16">
        <v>90554800</v>
      </c>
      <c r="G595" s="16">
        <f>F595*$G$1</f>
        <v>63388359.999999993</v>
      </c>
      <c r="H595" s="17"/>
    </row>
    <row r="596" spans="1:8" ht="24.95" customHeight="1" x14ac:dyDescent="0.4">
      <c r="A596" s="13">
        <v>76953</v>
      </c>
      <c r="B596" s="14">
        <v>46191</v>
      </c>
      <c r="C596" s="15" t="s">
        <v>79</v>
      </c>
      <c r="D596" s="15" t="s">
        <v>27</v>
      </c>
      <c r="E596" s="15" t="s">
        <v>15</v>
      </c>
      <c r="F596" s="16">
        <v>107847800</v>
      </c>
      <c r="G596" s="16">
        <f>F596*$G$1</f>
        <v>75493460</v>
      </c>
      <c r="H596" s="17"/>
    </row>
    <row r="597" spans="1:8" ht="24.95" customHeight="1" x14ac:dyDescent="0.4">
      <c r="A597" s="13">
        <v>77820</v>
      </c>
      <c r="B597" s="14">
        <v>46254</v>
      </c>
      <c r="C597" s="15" t="s">
        <v>79</v>
      </c>
      <c r="D597" s="15" t="s">
        <v>27</v>
      </c>
      <c r="E597" s="15" t="s">
        <v>56</v>
      </c>
      <c r="F597" s="16">
        <v>18965642</v>
      </c>
      <c r="G597" s="16">
        <f>F597*$G$1</f>
        <v>13275949.399999999</v>
      </c>
      <c r="H597" s="17"/>
    </row>
    <row r="598" spans="1:8" ht="24.95" customHeight="1" x14ac:dyDescent="0.4">
      <c r="A598" s="13">
        <v>77612</v>
      </c>
      <c r="B598" s="14">
        <v>46224</v>
      </c>
      <c r="C598" s="15" t="s">
        <v>26</v>
      </c>
      <c r="D598" s="15" t="s">
        <v>27</v>
      </c>
      <c r="E598" s="15" t="s">
        <v>311</v>
      </c>
      <c r="F598" s="16">
        <v>205000000</v>
      </c>
      <c r="G598" s="16">
        <f>F598*$G$1</f>
        <v>143500000</v>
      </c>
      <c r="H598" s="17"/>
    </row>
    <row r="599" spans="1:8" ht="24.95" customHeight="1" x14ac:dyDescent="0.4">
      <c r="A599" s="13">
        <v>77429</v>
      </c>
      <c r="B599" s="14">
        <v>46191</v>
      </c>
      <c r="C599" s="15" t="s">
        <v>26</v>
      </c>
      <c r="D599" s="15" t="s">
        <v>27</v>
      </c>
      <c r="E599" s="15" t="s">
        <v>15</v>
      </c>
      <c r="F599" s="16">
        <v>178379453</v>
      </c>
      <c r="G599" s="16">
        <f>F599*$G$1</f>
        <v>124865617.09999999</v>
      </c>
      <c r="H599" s="17"/>
    </row>
    <row r="600" spans="1:8" ht="24.95" customHeight="1" x14ac:dyDescent="0.4">
      <c r="A600" s="13">
        <v>77074</v>
      </c>
      <c r="B600" s="14">
        <v>46198</v>
      </c>
      <c r="C600" s="15" t="s">
        <v>26</v>
      </c>
      <c r="D600" s="15" t="s">
        <v>27</v>
      </c>
      <c r="E600" s="15" t="s">
        <v>99</v>
      </c>
      <c r="F600" s="16">
        <v>357723490</v>
      </c>
      <c r="G600" s="16">
        <f>F600*$G$1</f>
        <v>250406442.99999997</v>
      </c>
      <c r="H600" s="17"/>
    </row>
    <row r="601" spans="1:8" ht="24.95" customHeight="1" x14ac:dyDescent="0.4">
      <c r="A601" s="13">
        <v>77394</v>
      </c>
      <c r="B601" s="14">
        <v>46192</v>
      </c>
      <c r="C601" s="15" t="s">
        <v>26</v>
      </c>
      <c r="D601" s="15" t="s">
        <v>27</v>
      </c>
      <c r="E601" s="15" t="s">
        <v>14</v>
      </c>
      <c r="F601" s="16">
        <v>20817000</v>
      </c>
      <c r="G601" s="16">
        <f>F601*$G$1</f>
        <v>14571900</v>
      </c>
      <c r="H601" s="17"/>
    </row>
    <row r="602" spans="1:8" ht="24.95" customHeight="1" x14ac:dyDescent="0.4">
      <c r="A602" s="13">
        <v>77430</v>
      </c>
      <c r="B602" s="14">
        <v>46192</v>
      </c>
      <c r="C602" s="15" t="s">
        <v>26</v>
      </c>
      <c r="D602" s="15" t="s">
        <v>27</v>
      </c>
      <c r="E602" s="15" t="s">
        <v>145</v>
      </c>
      <c r="F602" s="16">
        <v>269449796</v>
      </c>
      <c r="G602" s="16">
        <f>F602*$G$1</f>
        <v>188614857.19999999</v>
      </c>
      <c r="H602" s="17"/>
    </row>
    <row r="603" spans="1:8" ht="24.95" customHeight="1" x14ac:dyDescent="0.4">
      <c r="A603" s="13">
        <v>77663</v>
      </c>
      <c r="B603" s="14">
        <v>46195</v>
      </c>
      <c r="C603" s="15" t="s">
        <v>26</v>
      </c>
      <c r="D603" s="15" t="s">
        <v>27</v>
      </c>
      <c r="E603" s="15" t="s">
        <v>77</v>
      </c>
      <c r="F603" s="16">
        <v>10434000</v>
      </c>
      <c r="G603" s="16">
        <f>F603*$G$1</f>
        <v>7303800</v>
      </c>
      <c r="H603" s="17" t="s">
        <v>345</v>
      </c>
    </row>
    <row r="604" spans="1:8" ht="24.95" customHeight="1" x14ac:dyDescent="0.4">
      <c r="A604" s="13">
        <v>77664</v>
      </c>
      <c r="B604" s="14">
        <v>46195</v>
      </c>
      <c r="C604" s="15" t="s">
        <v>26</v>
      </c>
      <c r="D604" s="15" t="s">
        <v>27</v>
      </c>
      <c r="E604" s="15" t="s">
        <v>56</v>
      </c>
      <c r="F604" s="16">
        <v>12490500</v>
      </c>
      <c r="G604" s="16">
        <f>F604*$G$1</f>
        <v>8743350</v>
      </c>
      <c r="H604" s="17"/>
    </row>
    <row r="605" spans="1:8" ht="24.95" customHeight="1" x14ac:dyDescent="0.4">
      <c r="A605" s="13">
        <v>77428</v>
      </c>
      <c r="B605" s="14">
        <v>46195</v>
      </c>
      <c r="C605" s="15" t="s">
        <v>26</v>
      </c>
      <c r="D605" s="15" t="s">
        <v>27</v>
      </c>
      <c r="E605" s="15" t="s">
        <v>11</v>
      </c>
      <c r="F605" s="16">
        <v>24449000</v>
      </c>
      <c r="G605" s="16">
        <f>F605*$G$1</f>
        <v>17114300</v>
      </c>
      <c r="H605" s="17" t="s">
        <v>257</v>
      </c>
    </row>
    <row r="606" spans="1:8" ht="24.95" customHeight="1" x14ac:dyDescent="0.4">
      <c r="A606" s="13">
        <v>77237</v>
      </c>
      <c r="B606" s="14">
        <v>46205</v>
      </c>
      <c r="C606" s="15" t="s">
        <v>214</v>
      </c>
      <c r="D606" s="15" t="s">
        <v>27</v>
      </c>
      <c r="E606" s="15" t="s">
        <v>14</v>
      </c>
      <c r="F606" s="16">
        <v>43228455</v>
      </c>
      <c r="G606" s="16">
        <f>F606*$G$1</f>
        <v>30259918.499999996</v>
      </c>
      <c r="H606" s="17"/>
    </row>
    <row r="607" spans="1:8" ht="24.95" customHeight="1" x14ac:dyDescent="0.4">
      <c r="A607" s="13">
        <v>77826</v>
      </c>
      <c r="B607" s="14">
        <v>46213</v>
      </c>
      <c r="C607" s="15" t="s">
        <v>369</v>
      </c>
      <c r="D607" s="15" t="s">
        <v>27</v>
      </c>
      <c r="E607" s="15" t="s">
        <v>59</v>
      </c>
      <c r="F607" s="16">
        <v>141450000</v>
      </c>
      <c r="G607" s="16">
        <f>F607*$G$1</f>
        <v>99015000</v>
      </c>
      <c r="H607" s="17"/>
    </row>
    <row r="608" spans="1:8" ht="24.95" customHeight="1" x14ac:dyDescent="0.4">
      <c r="A608" s="13">
        <v>77713</v>
      </c>
      <c r="B608" s="14">
        <v>46198</v>
      </c>
      <c r="C608" s="15" t="s">
        <v>349</v>
      </c>
      <c r="D608" s="15" t="s">
        <v>21</v>
      </c>
      <c r="E608" s="15" t="s">
        <v>10</v>
      </c>
      <c r="F608" s="16">
        <v>133700000</v>
      </c>
      <c r="G608" s="16">
        <f>F608*$G$1</f>
        <v>93590000</v>
      </c>
      <c r="H608" s="17"/>
    </row>
    <row r="609" spans="1:8" ht="24.95" customHeight="1" x14ac:dyDescent="0.4">
      <c r="A609" s="13">
        <v>77656</v>
      </c>
      <c r="B609" s="14">
        <v>46232</v>
      </c>
      <c r="C609" s="15" t="s">
        <v>80</v>
      </c>
      <c r="D609" s="15" t="s">
        <v>21</v>
      </c>
      <c r="E609" s="15" t="s">
        <v>15</v>
      </c>
      <c r="F609" s="16">
        <v>161457000</v>
      </c>
      <c r="G609" s="16">
        <f>F609*$G$1</f>
        <v>113019900</v>
      </c>
      <c r="H609" s="17"/>
    </row>
    <row r="610" spans="1:8" ht="24.95" customHeight="1" x14ac:dyDescent="0.4">
      <c r="A610" s="13">
        <v>77607</v>
      </c>
      <c r="B610" s="14">
        <v>46203</v>
      </c>
      <c r="C610" s="15" t="s">
        <v>80</v>
      </c>
      <c r="D610" s="15" t="s">
        <v>21</v>
      </c>
      <c r="E610" s="15" t="s">
        <v>93</v>
      </c>
      <c r="F610" s="16">
        <v>131430261</v>
      </c>
      <c r="G610" s="16">
        <f>F610*$G$1</f>
        <v>92001182.699999988</v>
      </c>
      <c r="H610" s="17"/>
    </row>
    <row r="611" spans="1:8" ht="24.95" customHeight="1" x14ac:dyDescent="0.4">
      <c r="A611" s="13">
        <v>76622</v>
      </c>
      <c r="B611" s="14">
        <v>46197</v>
      </c>
      <c r="C611" s="15" t="s">
        <v>80</v>
      </c>
      <c r="D611" s="15" t="s">
        <v>21</v>
      </c>
      <c r="E611" s="15" t="s">
        <v>14</v>
      </c>
      <c r="F611" s="16">
        <v>1552142900</v>
      </c>
      <c r="G611" s="16">
        <f>F611*$G$1</f>
        <v>1086500030</v>
      </c>
      <c r="H611" s="17"/>
    </row>
    <row r="612" spans="1:8" ht="24.95" customHeight="1" x14ac:dyDescent="0.4">
      <c r="A612" s="13">
        <v>77156</v>
      </c>
      <c r="B612" s="14">
        <v>46198</v>
      </c>
      <c r="C612" s="15" t="s">
        <v>80</v>
      </c>
      <c r="D612" s="15" t="s">
        <v>21</v>
      </c>
      <c r="E612" s="15" t="s">
        <v>14</v>
      </c>
      <c r="F612" s="16">
        <v>509440000</v>
      </c>
      <c r="G612" s="16">
        <f>F612*$G$1</f>
        <v>356608000</v>
      </c>
      <c r="H612" s="17"/>
    </row>
    <row r="613" spans="1:8" ht="24.95" customHeight="1" x14ac:dyDescent="0.4">
      <c r="A613" s="13">
        <v>77602</v>
      </c>
      <c r="B613" s="14">
        <v>46197</v>
      </c>
      <c r="C613" s="15" t="s">
        <v>80</v>
      </c>
      <c r="D613" s="15" t="s">
        <v>21</v>
      </c>
      <c r="E613" s="15" t="s">
        <v>14</v>
      </c>
      <c r="F613" s="16">
        <v>436134000</v>
      </c>
      <c r="G613" s="16">
        <f>F613*$G$1</f>
        <v>305293800</v>
      </c>
      <c r="H613" s="17"/>
    </row>
    <row r="614" spans="1:8" ht="24.95" customHeight="1" x14ac:dyDescent="0.4">
      <c r="A614" s="13">
        <v>77604</v>
      </c>
      <c r="B614" s="14">
        <v>46198</v>
      </c>
      <c r="C614" s="15" t="s">
        <v>80</v>
      </c>
      <c r="D614" s="15" t="s">
        <v>21</v>
      </c>
      <c r="E614" s="15" t="s">
        <v>14</v>
      </c>
      <c r="F614" s="16">
        <v>69750000</v>
      </c>
      <c r="G614" s="16">
        <f>F614*$G$1</f>
        <v>48825000</v>
      </c>
      <c r="H614" s="17"/>
    </row>
    <row r="615" spans="1:8" ht="24.95" customHeight="1" x14ac:dyDescent="0.4">
      <c r="A615" s="13">
        <v>77605</v>
      </c>
      <c r="B615" s="14">
        <v>46211</v>
      </c>
      <c r="C615" s="15" t="s">
        <v>80</v>
      </c>
      <c r="D615" s="15" t="s">
        <v>21</v>
      </c>
      <c r="E615" s="15" t="s">
        <v>14</v>
      </c>
      <c r="F615" s="16">
        <v>94003920</v>
      </c>
      <c r="G615" s="16">
        <f>F615*$G$1</f>
        <v>65802743.999999993</v>
      </c>
      <c r="H615" s="17"/>
    </row>
    <row r="616" spans="1:8" ht="24.95" customHeight="1" x14ac:dyDescent="0.4">
      <c r="A616" s="13">
        <v>77655</v>
      </c>
      <c r="B616" s="14">
        <v>46212</v>
      </c>
      <c r="C616" s="15" t="s">
        <v>80</v>
      </c>
      <c r="D616" s="15" t="s">
        <v>21</v>
      </c>
      <c r="E616" s="15" t="s">
        <v>14</v>
      </c>
      <c r="F616" s="16">
        <v>124800000</v>
      </c>
      <c r="G616" s="16">
        <f>F616*$G$1</f>
        <v>87360000</v>
      </c>
      <c r="H616" s="17"/>
    </row>
    <row r="617" spans="1:8" ht="24.95" customHeight="1" x14ac:dyDescent="0.4">
      <c r="A617" s="13">
        <v>77706</v>
      </c>
      <c r="B617" s="14">
        <v>46204</v>
      </c>
      <c r="C617" s="15" t="s">
        <v>80</v>
      </c>
      <c r="D617" s="15" t="s">
        <v>21</v>
      </c>
      <c r="E617" s="15" t="s">
        <v>14</v>
      </c>
      <c r="F617" s="16">
        <v>188225500</v>
      </c>
      <c r="G617" s="16">
        <f>F617*$G$1</f>
        <v>131757849.99999999</v>
      </c>
      <c r="H617" s="17"/>
    </row>
    <row r="618" spans="1:8" ht="24.95" customHeight="1" x14ac:dyDescent="0.4">
      <c r="A618" s="13">
        <v>77404</v>
      </c>
      <c r="B618" s="14">
        <v>46203</v>
      </c>
      <c r="C618" s="15" t="s">
        <v>80</v>
      </c>
      <c r="D618" s="15" t="s">
        <v>21</v>
      </c>
      <c r="E618" s="15" t="s">
        <v>44</v>
      </c>
      <c r="F618" s="16">
        <v>269588884</v>
      </c>
      <c r="G618" s="16">
        <f>F618*$G$1</f>
        <v>188712218.79999998</v>
      </c>
      <c r="H618" s="17"/>
    </row>
    <row r="619" spans="1:8" ht="24.95" customHeight="1" x14ac:dyDescent="0.4">
      <c r="A619" s="13">
        <v>77606</v>
      </c>
      <c r="B619" s="14">
        <v>46205</v>
      </c>
      <c r="C619" s="15" t="s">
        <v>80</v>
      </c>
      <c r="D619" s="15" t="s">
        <v>21</v>
      </c>
      <c r="E619" s="15" t="s">
        <v>44</v>
      </c>
      <c r="F619" s="16">
        <v>137872000</v>
      </c>
      <c r="G619" s="16">
        <f>F619*$G$1</f>
        <v>96510400</v>
      </c>
      <c r="H619" s="17"/>
    </row>
    <row r="620" spans="1:8" ht="24.95" customHeight="1" x14ac:dyDescent="0.4">
      <c r="A620" s="13">
        <v>77592</v>
      </c>
      <c r="B620" s="14">
        <v>46211</v>
      </c>
      <c r="C620" s="15" t="s">
        <v>80</v>
      </c>
      <c r="D620" s="15" t="s">
        <v>21</v>
      </c>
      <c r="E620" s="15" t="s">
        <v>11</v>
      </c>
      <c r="F620" s="16">
        <v>18168000</v>
      </c>
      <c r="G620" s="16">
        <f>F620*$G$1</f>
        <v>12717600</v>
      </c>
      <c r="H620" s="17" t="s">
        <v>11</v>
      </c>
    </row>
    <row r="621" spans="1:8" ht="24.95" customHeight="1" x14ac:dyDescent="0.4">
      <c r="A621" s="13">
        <v>77403</v>
      </c>
      <c r="B621" s="14">
        <v>46204</v>
      </c>
      <c r="C621" s="15" t="s">
        <v>20</v>
      </c>
      <c r="D621" s="15" t="s">
        <v>21</v>
      </c>
      <c r="E621" s="15" t="s">
        <v>45</v>
      </c>
      <c r="F621" s="16">
        <v>111729485</v>
      </c>
      <c r="G621" s="16">
        <f>F621*$G$1</f>
        <v>78210639.5</v>
      </c>
      <c r="H621" s="17"/>
    </row>
    <row r="622" spans="1:8" ht="24.95" customHeight="1" x14ac:dyDescent="0.4">
      <c r="A622" s="13">
        <v>76358</v>
      </c>
      <c r="B622" s="14">
        <v>46196</v>
      </c>
      <c r="C622" s="15" t="s">
        <v>20</v>
      </c>
      <c r="D622" s="15" t="s">
        <v>21</v>
      </c>
      <c r="E622" s="15" t="s">
        <v>8</v>
      </c>
      <c r="F622" s="16">
        <v>697647000</v>
      </c>
      <c r="G622" s="16">
        <f>F622*$G$1</f>
        <v>488352899.99999994</v>
      </c>
      <c r="H622" s="17"/>
    </row>
    <row r="623" spans="1:8" ht="24.95" customHeight="1" x14ac:dyDescent="0.4">
      <c r="A623" s="13">
        <v>77444</v>
      </c>
      <c r="B623" s="14">
        <v>46219</v>
      </c>
      <c r="C623" s="15" t="s">
        <v>20</v>
      </c>
      <c r="D623" s="15" t="s">
        <v>21</v>
      </c>
      <c r="E623" s="15" t="s">
        <v>8</v>
      </c>
      <c r="F623" s="16">
        <v>358530875</v>
      </c>
      <c r="G623" s="16">
        <f>F623*$G$1</f>
        <v>250971612.49999997</v>
      </c>
      <c r="H623" s="17"/>
    </row>
    <row r="624" spans="1:8" ht="24.95" customHeight="1" x14ac:dyDescent="0.4">
      <c r="A624" s="13">
        <v>77445</v>
      </c>
      <c r="B624" s="14">
        <v>46219</v>
      </c>
      <c r="C624" s="15" t="s">
        <v>20</v>
      </c>
      <c r="D624" s="15" t="s">
        <v>21</v>
      </c>
      <c r="E624" s="15" t="s">
        <v>8</v>
      </c>
      <c r="F624" s="16">
        <v>325861120</v>
      </c>
      <c r="G624" s="16">
        <f>F624*$G$1</f>
        <v>228102784</v>
      </c>
      <c r="H624" s="17"/>
    </row>
    <row r="625" spans="1:8" ht="24.95" customHeight="1" x14ac:dyDescent="0.4">
      <c r="A625" s="13">
        <v>77609</v>
      </c>
      <c r="B625" s="14">
        <v>46203</v>
      </c>
      <c r="C625" s="15" t="s">
        <v>20</v>
      </c>
      <c r="D625" s="15" t="s">
        <v>21</v>
      </c>
      <c r="E625" s="15" t="s">
        <v>8</v>
      </c>
      <c r="F625" s="16">
        <v>265250000</v>
      </c>
      <c r="G625" s="16">
        <f>F625*$G$1</f>
        <v>185675000</v>
      </c>
      <c r="H625" s="17"/>
    </row>
    <row r="626" spans="1:8" ht="24.95" customHeight="1" x14ac:dyDescent="0.4">
      <c r="A626" s="13">
        <v>77707</v>
      </c>
      <c r="B626" s="14">
        <v>46212</v>
      </c>
      <c r="C626" s="15" t="s">
        <v>20</v>
      </c>
      <c r="D626" s="15" t="s">
        <v>21</v>
      </c>
      <c r="E626" s="15" t="s">
        <v>8</v>
      </c>
      <c r="F626" s="16">
        <v>336600000</v>
      </c>
      <c r="G626" s="16">
        <f>F626*$G$1</f>
        <v>235619999.99999997</v>
      </c>
      <c r="H626" s="17"/>
    </row>
    <row r="627" spans="1:8" ht="24.95" customHeight="1" x14ac:dyDescent="0.4">
      <c r="A627" s="13">
        <v>77711</v>
      </c>
      <c r="B627" s="14">
        <v>46219</v>
      </c>
      <c r="C627" s="15" t="s">
        <v>20</v>
      </c>
      <c r="D627" s="15" t="s">
        <v>21</v>
      </c>
      <c r="E627" s="15" t="s">
        <v>8</v>
      </c>
      <c r="F627" s="16">
        <v>69600000</v>
      </c>
      <c r="G627" s="16">
        <f>F627*$G$1</f>
        <v>48720000</v>
      </c>
      <c r="H627" s="17"/>
    </row>
    <row r="628" spans="1:8" ht="24.95" customHeight="1" x14ac:dyDescent="0.4">
      <c r="A628" s="13">
        <v>76775</v>
      </c>
      <c r="B628" s="14">
        <v>46231</v>
      </c>
      <c r="C628" s="15" t="s">
        <v>20</v>
      </c>
      <c r="D628" s="15" t="s">
        <v>21</v>
      </c>
      <c r="E628" s="15" t="s">
        <v>93</v>
      </c>
      <c r="F628" s="16">
        <v>2506517430</v>
      </c>
      <c r="G628" s="16">
        <f>F628*$G$1</f>
        <v>1754562201</v>
      </c>
      <c r="H628" s="17"/>
    </row>
    <row r="629" spans="1:8" ht="24.95" customHeight="1" x14ac:dyDescent="0.4">
      <c r="A629" s="13">
        <v>76973</v>
      </c>
      <c r="B629" s="14">
        <v>46192</v>
      </c>
      <c r="C629" s="15" t="s">
        <v>20</v>
      </c>
      <c r="D629" s="15" t="s">
        <v>21</v>
      </c>
      <c r="E629" s="15" t="s">
        <v>166</v>
      </c>
      <c r="F629" s="16">
        <v>362027760</v>
      </c>
      <c r="G629" s="16">
        <f>F629*$G$1</f>
        <v>253419431.99999997</v>
      </c>
      <c r="H629" s="17"/>
    </row>
    <row r="630" spans="1:8" ht="24.95" customHeight="1" x14ac:dyDescent="0.4">
      <c r="A630" s="13">
        <v>77096</v>
      </c>
      <c r="B630" s="14">
        <v>46198</v>
      </c>
      <c r="C630" s="15" t="s">
        <v>20</v>
      </c>
      <c r="D630" s="15" t="s">
        <v>21</v>
      </c>
      <c r="E630" s="15" t="s">
        <v>14</v>
      </c>
      <c r="F630" s="16">
        <v>2364961500</v>
      </c>
      <c r="G630" s="16">
        <f>F630*$G$1</f>
        <v>1655473050</v>
      </c>
      <c r="H630" s="17"/>
    </row>
    <row r="631" spans="1:8" ht="24.95" customHeight="1" x14ac:dyDescent="0.4">
      <c r="A631" s="13">
        <v>77415</v>
      </c>
      <c r="B631" s="14">
        <v>46212</v>
      </c>
      <c r="C631" s="15" t="s">
        <v>20</v>
      </c>
      <c r="D631" s="15" t="s">
        <v>21</v>
      </c>
      <c r="E631" s="15" t="s">
        <v>14</v>
      </c>
      <c r="F631" s="16">
        <v>85238000</v>
      </c>
      <c r="G631" s="16">
        <f>F631*$G$1</f>
        <v>59666599.999999993</v>
      </c>
      <c r="H631" s="17"/>
    </row>
    <row r="632" spans="1:8" ht="24.95" customHeight="1" x14ac:dyDescent="0.4">
      <c r="A632" s="13">
        <v>77416</v>
      </c>
      <c r="B632" s="14">
        <v>46212</v>
      </c>
      <c r="C632" s="15" t="s">
        <v>20</v>
      </c>
      <c r="D632" s="15" t="s">
        <v>21</v>
      </c>
      <c r="E632" s="15" t="s">
        <v>14</v>
      </c>
      <c r="F632" s="16">
        <v>3200000000</v>
      </c>
      <c r="G632" s="16">
        <f>F632*$G$1</f>
        <v>2240000000</v>
      </c>
      <c r="H632" s="17"/>
    </row>
    <row r="633" spans="1:8" ht="24.95" customHeight="1" x14ac:dyDescent="0.4">
      <c r="A633" s="13">
        <v>77418</v>
      </c>
      <c r="B633" s="14">
        <v>46205</v>
      </c>
      <c r="C633" s="15" t="s">
        <v>20</v>
      </c>
      <c r="D633" s="15" t="s">
        <v>21</v>
      </c>
      <c r="E633" s="15" t="s">
        <v>14</v>
      </c>
      <c r="F633" s="16">
        <v>4200000000</v>
      </c>
      <c r="G633" s="16">
        <f>F633*$G$1</f>
        <v>2940000000</v>
      </c>
      <c r="H633" s="17"/>
    </row>
    <row r="634" spans="1:8" ht="24.95" customHeight="1" x14ac:dyDescent="0.4">
      <c r="A634" s="13">
        <v>77654</v>
      </c>
      <c r="B634" s="14">
        <v>46205</v>
      </c>
      <c r="C634" s="15" t="s">
        <v>20</v>
      </c>
      <c r="D634" s="15" t="s">
        <v>21</v>
      </c>
      <c r="E634" s="15" t="s">
        <v>14</v>
      </c>
      <c r="F634" s="16">
        <v>2940000000</v>
      </c>
      <c r="G634" s="16">
        <f>F634*$G$1</f>
        <v>2057999999.9999998</v>
      </c>
      <c r="H634" s="17"/>
    </row>
    <row r="635" spans="1:8" ht="24.95" customHeight="1" x14ac:dyDescent="0.4">
      <c r="A635" s="13">
        <v>77407</v>
      </c>
      <c r="B635" s="14">
        <v>46191</v>
      </c>
      <c r="C635" s="15" t="s">
        <v>20</v>
      </c>
      <c r="D635" s="15" t="s">
        <v>21</v>
      </c>
      <c r="E635" s="15" t="s">
        <v>251</v>
      </c>
      <c r="F635" s="16">
        <v>59722791</v>
      </c>
      <c r="G635" s="16">
        <f>F635*$G$1</f>
        <v>41805953.699999996</v>
      </c>
      <c r="H635" s="17" t="s">
        <v>252</v>
      </c>
    </row>
    <row r="636" spans="1:8" ht="24.95" customHeight="1" x14ac:dyDescent="0.4">
      <c r="A636" s="13">
        <v>74672</v>
      </c>
      <c r="B636" s="14">
        <v>46206</v>
      </c>
      <c r="C636" s="15" t="s">
        <v>20</v>
      </c>
      <c r="D636" s="15" t="s">
        <v>21</v>
      </c>
      <c r="E636" s="15" t="s">
        <v>11</v>
      </c>
      <c r="F636" s="16">
        <v>55620000</v>
      </c>
      <c r="G636" s="16">
        <f>F636*$G$1</f>
        <v>38934000</v>
      </c>
      <c r="H636" s="17" t="s">
        <v>92</v>
      </c>
    </row>
    <row r="637" spans="1:8" ht="24.95" customHeight="1" x14ac:dyDescent="0.4">
      <c r="A637" s="13">
        <v>76769</v>
      </c>
      <c r="B637" s="14">
        <v>46218</v>
      </c>
      <c r="C637" s="15" t="s">
        <v>20</v>
      </c>
      <c r="D637" s="15" t="s">
        <v>21</v>
      </c>
      <c r="E637" s="15" t="s">
        <v>11</v>
      </c>
      <c r="F637" s="16">
        <v>50000000</v>
      </c>
      <c r="G637" s="16">
        <f>F637*$G$1</f>
        <v>35000000</v>
      </c>
      <c r="H637" s="17" t="s">
        <v>151</v>
      </c>
    </row>
    <row r="638" spans="1:8" ht="24.95" customHeight="1" x14ac:dyDescent="0.4">
      <c r="A638" s="13">
        <v>77434</v>
      </c>
      <c r="B638" s="14">
        <v>46204</v>
      </c>
      <c r="C638" s="15" t="s">
        <v>20</v>
      </c>
      <c r="D638" s="15" t="s">
        <v>21</v>
      </c>
      <c r="E638" s="15" t="s">
        <v>11</v>
      </c>
      <c r="F638" s="16">
        <v>41407000</v>
      </c>
      <c r="G638" s="16">
        <f>F638*$G$1</f>
        <v>28984900</v>
      </c>
      <c r="H638" s="17" t="s">
        <v>258</v>
      </c>
    </row>
    <row r="639" spans="1:8" ht="24.95" customHeight="1" x14ac:dyDescent="0.4">
      <c r="A639" s="13">
        <v>77715</v>
      </c>
      <c r="B639" s="14">
        <v>46204</v>
      </c>
      <c r="C639" s="15" t="s">
        <v>254</v>
      </c>
      <c r="D639" s="15" t="s">
        <v>21</v>
      </c>
      <c r="E639" s="15" t="s">
        <v>28</v>
      </c>
      <c r="F639" s="16">
        <v>28848000</v>
      </c>
      <c r="G639" s="16">
        <f>F639*$G$1</f>
        <v>20193600</v>
      </c>
      <c r="H639" s="17"/>
    </row>
    <row r="640" spans="1:8" ht="24.95" customHeight="1" x14ac:dyDescent="0.4">
      <c r="A640" s="13">
        <v>77610</v>
      </c>
      <c r="B640" s="14">
        <v>46203</v>
      </c>
      <c r="C640" s="15" t="s">
        <v>254</v>
      </c>
      <c r="D640" s="15" t="s">
        <v>21</v>
      </c>
      <c r="E640" s="15" t="s">
        <v>14</v>
      </c>
      <c r="F640" s="16">
        <v>229931792</v>
      </c>
      <c r="G640" s="16">
        <f>F640*$G$1</f>
        <v>160952254.39999998</v>
      </c>
      <c r="H640" s="17"/>
    </row>
    <row r="641" spans="1:8" ht="24.95" customHeight="1" x14ac:dyDescent="0.4">
      <c r="A641" s="13">
        <v>77412</v>
      </c>
      <c r="B641" s="14">
        <v>46195</v>
      </c>
      <c r="C641" s="15" t="s">
        <v>254</v>
      </c>
      <c r="D641" s="15" t="s">
        <v>21</v>
      </c>
      <c r="E641" s="15" t="s">
        <v>121</v>
      </c>
      <c r="F641" s="16">
        <v>73001029</v>
      </c>
      <c r="G641" s="16">
        <f>F641*$G$1</f>
        <v>51100720.299999997</v>
      </c>
      <c r="H641" s="17"/>
    </row>
    <row r="642" spans="1:8" ht="24.95" customHeight="1" x14ac:dyDescent="0.4">
      <c r="A642" s="13">
        <v>77716</v>
      </c>
      <c r="B642" s="14">
        <v>46204</v>
      </c>
      <c r="C642" s="15" t="s">
        <v>254</v>
      </c>
      <c r="D642" s="15" t="s">
        <v>21</v>
      </c>
      <c r="E642" s="15" t="s">
        <v>9</v>
      </c>
      <c r="F642" s="16">
        <v>58155040</v>
      </c>
      <c r="G642" s="16">
        <f>F642*$G$1</f>
        <v>40708528</v>
      </c>
      <c r="H642" s="17"/>
    </row>
    <row r="643" spans="1:8" ht="24.95" customHeight="1" x14ac:dyDescent="0.4">
      <c r="A643" s="13">
        <v>77405</v>
      </c>
      <c r="B643" s="14">
        <v>46191</v>
      </c>
      <c r="C643" s="15" t="s">
        <v>71</v>
      </c>
      <c r="D643" s="15" t="s">
        <v>21</v>
      </c>
      <c r="E643" s="15" t="s">
        <v>8</v>
      </c>
      <c r="F643" s="16">
        <v>148654000</v>
      </c>
      <c r="G643" s="16">
        <f>F643*$G$1</f>
        <v>104057800</v>
      </c>
      <c r="H643" s="17"/>
    </row>
    <row r="644" spans="1:8" ht="24.95" customHeight="1" x14ac:dyDescent="0.4">
      <c r="A644" s="13">
        <v>77406</v>
      </c>
      <c r="B644" s="14">
        <v>46198</v>
      </c>
      <c r="C644" s="15" t="s">
        <v>71</v>
      </c>
      <c r="D644" s="15" t="s">
        <v>21</v>
      </c>
      <c r="E644" s="15" t="s">
        <v>8</v>
      </c>
      <c r="F644" s="16">
        <v>56423625</v>
      </c>
      <c r="G644" s="16">
        <f>F644*$G$1</f>
        <v>39496537.5</v>
      </c>
      <c r="H644" s="17"/>
    </row>
    <row r="645" spans="1:8" ht="24.95" customHeight="1" x14ac:dyDescent="0.4">
      <c r="A645" s="13">
        <v>76970</v>
      </c>
      <c r="B645" s="14">
        <v>46192</v>
      </c>
      <c r="C645" s="15" t="s">
        <v>71</v>
      </c>
      <c r="D645" s="15" t="s">
        <v>21</v>
      </c>
      <c r="E645" s="15" t="s">
        <v>119</v>
      </c>
      <c r="F645" s="16">
        <v>210334500</v>
      </c>
      <c r="G645" s="16">
        <f>F645*$G$1</f>
        <v>147234150</v>
      </c>
      <c r="H645" s="17"/>
    </row>
    <row r="646" spans="1:8" ht="24.95" customHeight="1" x14ac:dyDescent="0.4">
      <c r="A646" s="13">
        <v>77653</v>
      </c>
      <c r="B646" s="14">
        <v>46198</v>
      </c>
      <c r="C646" s="15" t="s">
        <v>71</v>
      </c>
      <c r="D646" s="15" t="s">
        <v>21</v>
      </c>
      <c r="E646" s="15" t="s">
        <v>242</v>
      </c>
      <c r="F646" s="16">
        <v>5995800</v>
      </c>
      <c r="G646" s="16">
        <f>F646*$G$1</f>
        <v>4197060</v>
      </c>
      <c r="H646" s="17"/>
    </row>
    <row r="647" spans="1:8" ht="24.95" customHeight="1" x14ac:dyDescent="0.4">
      <c r="A647" s="13">
        <v>77652</v>
      </c>
      <c r="B647" s="14">
        <v>46198</v>
      </c>
      <c r="C647" s="15" t="s">
        <v>71</v>
      </c>
      <c r="D647" s="15" t="s">
        <v>21</v>
      </c>
      <c r="E647" s="15" t="s">
        <v>56</v>
      </c>
      <c r="F647" s="16">
        <v>20812950</v>
      </c>
      <c r="G647" s="16">
        <f>F647*$G$1</f>
        <v>14569065</v>
      </c>
      <c r="H647" s="17"/>
    </row>
    <row r="648" spans="1:8" ht="24.95" customHeight="1" x14ac:dyDescent="0.4">
      <c r="A648" s="13">
        <v>77712</v>
      </c>
      <c r="B648" s="14">
        <v>46225</v>
      </c>
      <c r="C648" s="15" t="s">
        <v>348</v>
      </c>
      <c r="D648" s="15" t="s">
        <v>21</v>
      </c>
      <c r="E648" s="15" t="s">
        <v>11</v>
      </c>
      <c r="F648" s="16">
        <v>57600000</v>
      </c>
      <c r="G648" s="16">
        <f>F648*$G$1</f>
        <v>40320000</v>
      </c>
      <c r="H648" s="17" t="s">
        <v>258</v>
      </c>
    </row>
    <row r="649" spans="1:8" ht="24.95" customHeight="1" x14ac:dyDescent="0.4">
      <c r="A649" s="13">
        <v>77634</v>
      </c>
      <c r="B649" s="14">
        <v>46224</v>
      </c>
      <c r="C649" s="15" t="s">
        <v>321</v>
      </c>
      <c r="D649" s="15" t="s">
        <v>21</v>
      </c>
      <c r="E649" s="15" t="s">
        <v>9</v>
      </c>
      <c r="F649" s="16">
        <v>86673550</v>
      </c>
      <c r="G649" s="16">
        <f>F649*$G$1</f>
        <v>60671484.999999993</v>
      </c>
      <c r="H649" s="17"/>
    </row>
    <row r="650" spans="1:8" ht="24.95" customHeight="1" x14ac:dyDescent="0.4">
      <c r="A650" s="13">
        <v>77603</v>
      </c>
      <c r="B650" s="14">
        <v>46204</v>
      </c>
      <c r="C650" s="15" t="s">
        <v>309</v>
      </c>
      <c r="D650" s="15" t="s">
        <v>21</v>
      </c>
      <c r="E650" s="15" t="s">
        <v>8</v>
      </c>
      <c r="F650" s="16">
        <v>100962400</v>
      </c>
      <c r="G650" s="16">
        <f>F650*$G$1</f>
        <v>70673680</v>
      </c>
      <c r="H650" s="17"/>
    </row>
    <row r="651" spans="1:8" ht="24.95" customHeight="1" x14ac:dyDescent="0.4">
      <c r="A651" s="13">
        <v>77097</v>
      </c>
      <c r="B651" s="14">
        <v>46199</v>
      </c>
      <c r="C651" s="15" t="s">
        <v>194</v>
      </c>
      <c r="D651" s="15" t="s">
        <v>21</v>
      </c>
      <c r="E651" s="15" t="s">
        <v>14</v>
      </c>
      <c r="F651" s="16">
        <v>116600000</v>
      </c>
      <c r="G651" s="16">
        <f>F651*$G$1</f>
        <v>81620000</v>
      </c>
      <c r="H651" s="17"/>
    </row>
    <row r="652" spans="1:8" ht="24.95" customHeight="1" x14ac:dyDescent="0.4">
      <c r="A652" s="13">
        <v>77098</v>
      </c>
      <c r="B652" s="14">
        <v>46199</v>
      </c>
      <c r="C652" s="15" t="s">
        <v>194</v>
      </c>
      <c r="D652" s="15" t="s">
        <v>21</v>
      </c>
      <c r="E652" s="15" t="s">
        <v>14</v>
      </c>
      <c r="F652" s="16">
        <v>467900000</v>
      </c>
      <c r="G652" s="16">
        <f>F652*$G$1</f>
        <v>327530000</v>
      </c>
      <c r="H652" s="17"/>
    </row>
    <row r="653" spans="1:8" ht="24.95" customHeight="1" x14ac:dyDescent="0.4">
      <c r="A653" s="13">
        <v>77709</v>
      </c>
      <c r="B653" s="14">
        <v>46205</v>
      </c>
      <c r="C653" s="15" t="s">
        <v>347</v>
      </c>
      <c r="D653" s="15" t="s">
        <v>21</v>
      </c>
      <c r="E653" s="15" t="s">
        <v>10</v>
      </c>
      <c r="F653" s="16">
        <v>158329500</v>
      </c>
      <c r="G653" s="16">
        <f>F653*$G$1</f>
        <v>110830650</v>
      </c>
      <c r="H653" s="17"/>
    </row>
    <row r="654" spans="1:8" ht="24.95" customHeight="1" x14ac:dyDescent="0.4">
      <c r="A654" s="13">
        <v>77317</v>
      </c>
      <c r="B654" s="14">
        <v>46192</v>
      </c>
      <c r="C654" s="15" t="s">
        <v>237</v>
      </c>
      <c r="D654" s="15" t="s">
        <v>21</v>
      </c>
      <c r="E654" s="15" t="s">
        <v>8</v>
      </c>
      <c r="F654" s="16">
        <v>102606736</v>
      </c>
      <c r="G654" s="16">
        <f>F654*$G$1</f>
        <v>71824715.199999988</v>
      </c>
      <c r="H654" s="17"/>
    </row>
    <row r="655" spans="1:8" ht="24.95" customHeight="1" x14ac:dyDescent="0.4">
      <c r="A655" s="13">
        <v>77411</v>
      </c>
      <c r="B655" s="14">
        <v>46212</v>
      </c>
      <c r="C655" s="15" t="s">
        <v>237</v>
      </c>
      <c r="D655" s="15" t="s">
        <v>21</v>
      </c>
      <c r="E655" s="15" t="s">
        <v>14</v>
      </c>
      <c r="F655" s="16">
        <v>250632000</v>
      </c>
      <c r="G655" s="16">
        <f>F655*$G$1</f>
        <v>175442400</v>
      </c>
      <c r="H655" s="17"/>
    </row>
    <row r="656" spans="1:8" ht="24.95" customHeight="1" x14ac:dyDescent="0.4">
      <c r="A656" s="13">
        <v>77408</v>
      </c>
      <c r="B656" s="14">
        <v>46191</v>
      </c>
      <c r="C656" s="15" t="s">
        <v>253</v>
      </c>
      <c r="D656" s="15" t="s">
        <v>21</v>
      </c>
      <c r="E656" s="15" t="s">
        <v>10</v>
      </c>
      <c r="F656" s="16">
        <v>235539260</v>
      </c>
      <c r="G656" s="16">
        <f>F656*$G$1</f>
        <v>164877482</v>
      </c>
      <c r="H656" s="17"/>
    </row>
    <row r="657" spans="1:8" ht="24.95" customHeight="1" x14ac:dyDescent="0.4">
      <c r="A657" s="13">
        <v>77409</v>
      </c>
      <c r="B657" s="14">
        <v>46191</v>
      </c>
      <c r="C657" s="15" t="s">
        <v>253</v>
      </c>
      <c r="D657" s="15" t="s">
        <v>21</v>
      </c>
      <c r="E657" s="15" t="s">
        <v>10</v>
      </c>
      <c r="F657" s="16">
        <v>963624084</v>
      </c>
      <c r="G657" s="16">
        <f>F657*$G$1</f>
        <v>674536858.79999995</v>
      </c>
      <c r="H657" s="17"/>
    </row>
    <row r="658" spans="1:8" ht="24.95" customHeight="1" x14ac:dyDescent="0.4">
      <c r="A658" s="13">
        <v>77410</v>
      </c>
      <c r="B658" s="14">
        <v>46191</v>
      </c>
      <c r="C658" s="15" t="s">
        <v>253</v>
      </c>
      <c r="D658" s="15" t="s">
        <v>21</v>
      </c>
      <c r="E658" s="15" t="s">
        <v>10</v>
      </c>
      <c r="F658" s="16">
        <v>479278520</v>
      </c>
      <c r="G658" s="16">
        <f>F658*$G$1</f>
        <v>335494964</v>
      </c>
      <c r="H658" s="17"/>
    </row>
    <row r="659" spans="1:8" ht="24.95" customHeight="1" x14ac:dyDescent="0.4">
      <c r="A659" s="13">
        <v>77708</v>
      </c>
      <c r="B659" s="14">
        <v>46219</v>
      </c>
      <c r="C659" s="15" t="s">
        <v>346</v>
      </c>
      <c r="D659" s="15" t="s">
        <v>21</v>
      </c>
      <c r="E659" s="15" t="s">
        <v>37</v>
      </c>
      <c r="F659" s="16">
        <v>23485500</v>
      </c>
      <c r="G659" s="16">
        <f>F659*$G$1</f>
        <v>16439849.999999998</v>
      </c>
      <c r="H659" s="17"/>
    </row>
    <row r="660" spans="1:8" ht="24.95" customHeight="1" x14ac:dyDescent="0.4">
      <c r="A660" s="13">
        <v>76197</v>
      </c>
      <c r="B660" s="14">
        <v>46197</v>
      </c>
      <c r="C660" s="15" t="s">
        <v>227</v>
      </c>
      <c r="D660" s="15" t="s">
        <v>21</v>
      </c>
      <c r="E660" s="15" t="s">
        <v>8</v>
      </c>
      <c r="F660" s="16">
        <v>50203126</v>
      </c>
      <c r="G660" s="16">
        <f>F660*$G$1</f>
        <v>35142188.199999996</v>
      </c>
      <c r="H660" s="17"/>
    </row>
    <row r="661" spans="1:8" ht="24.95" customHeight="1" x14ac:dyDescent="0.4">
      <c r="A661" s="13">
        <v>77443</v>
      </c>
      <c r="B661" s="14">
        <v>46232</v>
      </c>
      <c r="C661" s="15" t="s">
        <v>227</v>
      </c>
      <c r="D661" s="15" t="s">
        <v>21</v>
      </c>
      <c r="E661" s="15" t="s">
        <v>28</v>
      </c>
      <c r="F661" s="16">
        <v>173529750</v>
      </c>
      <c r="G661" s="16">
        <f>F661*$G$1</f>
        <v>121470824.99999999</v>
      </c>
      <c r="H661" s="17"/>
    </row>
    <row r="662" spans="1:8" ht="24.95" customHeight="1" x14ac:dyDescent="0.4">
      <c r="A662" s="13">
        <v>76386</v>
      </c>
      <c r="B662" s="14">
        <v>46262</v>
      </c>
      <c r="C662" s="15" t="s">
        <v>57</v>
      </c>
      <c r="D662" s="15" t="s">
        <v>21</v>
      </c>
      <c r="E662" s="15" t="s">
        <v>14</v>
      </c>
      <c r="F662" s="16">
        <v>153861097</v>
      </c>
      <c r="G662" s="16">
        <f>F662*$G$1</f>
        <v>107702767.89999999</v>
      </c>
      <c r="H662" s="17"/>
    </row>
    <row r="663" spans="1:8" ht="24.95" customHeight="1" x14ac:dyDescent="0.4">
      <c r="A663" s="13">
        <v>77714</v>
      </c>
      <c r="B663" s="14">
        <v>46206</v>
      </c>
      <c r="C663" s="15" t="s">
        <v>57</v>
      </c>
      <c r="D663" s="15" t="s">
        <v>21</v>
      </c>
      <c r="E663" s="15" t="s">
        <v>14</v>
      </c>
      <c r="F663" s="16">
        <v>94500000</v>
      </c>
      <c r="G663" s="16">
        <f>F663*$G$1</f>
        <v>66149999.999999993</v>
      </c>
      <c r="H663" s="17"/>
    </row>
    <row r="664" spans="1:8" ht="24.95" customHeight="1" x14ac:dyDescent="0.4">
      <c r="A664" s="13">
        <v>76995</v>
      </c>
      <c r="B664" s="14">
        <v>46213</v>
      </c>
      <c r="C664" s="15" t="s">
        <v>57</v>
      </c>
      <c r="D664" s="15" t="s">
        <v>21</v>
      </c>
      <c r="E664" s="15" t="s">
        <v>10</v>
      </c>
      <c r="F664" s="16">
        <v>99614477</v>
      </c>
      <c r="G664" s="16">
        <f>F664*$G$1</f>
        <v>69730133.899999991</v>
      </c>
      <c r="H664" s="17"/>
    </row>
    <row r="665" spans="1:8" ht="24.95" customHeight="1" x14ac:dyDescent="0.4">
      <c r="A665" s="13">
        <v>77632</v>
      </c>
      <c r="B665" s="14">
        <v>46204</v>
      </c>
      <c r="C665" s="15" t="s">
        <v>319</v>
      </c>
      <c r="D665" s="15" t="s">
        <v>21</v>
      </c>
      <c r="E665" s="15" t="s">
        <v>10</v>
      </c>
      <c r="F665" s="16">
        <v>194743563.13</v>
      </c>
      <c r="G665" s="16">
        <f>F665*$G$1</f>
        <v>136320494.19099998</v>
      </c>
      <c r="H665" s="17"/>
    </row>
    <row r="666" spans="1:8" ht="24.95" customHeight="1" x14ac:dyDescent="0.4">
      <c r="A666" s="13">
        <v>77419</v>
      </c>
      <c r="B666" s="14">
        <v>46192</v>
      </c>
      <c r="C666" s="15" t="s">
        <v>193</v>
      </c>
      <c r="D666" s="15" t="s">
        <v>21</v>
      </c>
      <c r="E666" s="15" t="s">
        <v>9</v>
      </c>
      <c r="F666" s="16">
        <v>441415500</v>
      </c>
      <c r="G666" s="16">
        <f>F666*$G$1</f>
        <v>308990850</v>
      </c>
      <c r="H666" s="17"/>
    </row>
    <row r="667" spans="1:8" ht="24.95" customHeight="1" x14ac:dyDescent="0.4">
      <c r="A667" s="13">
        <v>77633</v>
      </c>
      <c r="B667" s="14">
        <v>46218</v>
      </c>
      <c r="C667" s="15" t="s">
        <v>320</v>
      </c>
      <c r="D667" s="15" t="s">
        <v>21</v>
      </c>
      <c r="E667" s="15" t="s">
        <v>14</v>
      </c>
      <c r="F667" s="16">
        <v>100635000</v>
      </c>
      <c r="G667" s="16">
        <f>F667*$G$1</f>
        <v>70444500</v>
      </c>
      <c r="H667" s="17"/>
    </row>
    <row r="668" spans="1:8" ht="24.95" customHeight="1" x14ac:dyDescent="0.4">
      <c r="A668" s="13">
        <v>76793</v>
      </c>
      <c r="B668" s="14">
        <v>46198</v>
      </c>
      <c r="C668" s="15" t="s">
        <v>98</v>
      </c>
      <c r="D668" s="15" t="s">
        <v>21</v>
      </c>
      <c r="E668" s="15" t="s">
        <v>9</v>
      </c>
      <c r="F668" s="16">
        <v>119946270</v>
      </c>
      <c r="G668" s="16">
        <f>F668*$G$1</f>
        <v>83962389</v>
      </c>
      <c r="H668" s="17"/>
    </row>
    <row r="669" spans="1:8" ht="24.95" customHeight="1" x14ac:dyDescent="0.4">
      <c r="A669" s="13">
        <v>77651</v>
      </c>
      <c r="B669" s="14">
        <v>46198</v>
      </c>
      <c r="C669" s="15" t="s">
        <v>195</v>
      </c>
      <c r="D669" s="15" t="s">
        <v>21</v>
      </c>
      <c r="E669" s="15" t="s">
        <v>9</v>
      </c>
      <c r="F669" s="16">
        <v>183029475</v>
      </c>
      <c r="G669" s="16">
        <f>F669*$G$1</f>
        <v>128120632.49999999</v>
      </c>
      <c r="H669" s="17"/>
    </row>
    <row r="670" spans="1:8" ht="24.95" customHeight="1" x14ac:dyDescent="0.4">
      <c r="A670" s="13">
        <v>77158</v>
      </c>
      <c r="B670" s="14">
        <v>46199</v>
      </c>
      <c r="C670" s="15" t="s">
        <v>167</v>
      </c>
      <c r="D670" s="15" t="s">
        <v>21</v>
      </c>
      <c r="E670" s="15" t="s">
        <v>8</v>
      </c>
      <c r="F670" s="16">
        <v>170496000</v>
      </c>
      <c r="G670" s="16">
        <f>F670*$G$1</f>
        <v>119347199.99999999</v>
      </c>
      <c r="H670" s="17"/>
    </row>
    <row r="671" spans="1:8" ht="24.95" customHeight="1" x14ac:dyDescent="0.4">
      <c r="A671" s="13">
        <v>77402</v>
      </c>
      <c r="B671" s="14">
        <v>46192</v>
      </c>
      <c r="C671" s="15" t="s">
        <v>167</v>
      </c>
      <c r="D671" s="15" t="s">
        <v>21</v>
      </c>
      <c r="E671" s="15" t="s">
        <v>10</v>
      </c>
      <c r="F671" s="16">
        <v>106050000</v>
      </c>
      <c r="G671" s="16">
        <f>F671*$G$1</f>
        <v>74235000</v>
      </c>
      <c r="H671" s="17"/>
    </row>
    <row r="672" spans="1:8" ht="24.95" customHeight="1" x14ac:dyDescent="0.4">
      <c r="A672" s="13">
        <v>77157</v>
      </c>
      <c r="B672" s="14">
        <v>46199</v>
      </c>
      <c r="C672" s="15" t="s">
        <v>167</v>
      </c>
      <c r="D672" s="15" t="s">
        <v>21</v>
      </c>
      <c r="E672" s="15" t="s">
        <v>9</v>
      </c>
      <c r="F672" s="16">
        <v>233380000</v>
      </c>
      <c r="G672" s="16">
        <f>F672*$G$1</f>
        <v>163366000</v>
      </c>
      <c r="H672" s="17"/>
    </row>
    <row r="673" spans="1:8" ht="24.95" customHeight="1" x14ac:dyDescent="0.4">
      <c r="A673" s="13">
        <v>77710</v>
      </c>
      <c r="B673" s="14">
        <v>46204</v>
      </c>
      <c r="C673" s="15" t="s">
        <v>156</v>
      </c>
      <c r="D673" s="15" t="s">
        <v>21</v>
      </c>
      <c r="E673" s="15" t="s">
        <v>14</v>
      </c>
      <c r="F673" s="16">
        <v>505700000</v>
      </c>
      <c r="G673" s="16">
        <f>F673*$G$1</f>
        <v>353990000</v>
      </c>
      <c r="H673" s="17"/>
    </row>
    <row r="674" spans="1:8" ht="24.95" customHeight="1" x14ac:dyDescent="0.4">
      <c r="A674" s="13">
        <v>77446</v>
      </c>
      <c r="B674" s="14">
        <v>46197</v>
      </c>
      <c r="C674" s="15" t="s">
        <v>261</v>
      </c>
      <c r="D674" s="15" t="s">
        <v>101</v>
      </c>
      <c r="E674" s="15" t="s">
        <v>14</v>
      </c>
      <c r="F674" s="16">
        <v>564799500</v>
      </c>
      <c r="G674" s="16">
        <f>F674*$G$1</f>
        <v>395359650</v>
      </c>
      <c r="H674" s="17"/>
    </row>
    <row r="675" spans="1:8" ht="24.95" customHeight="1" x14ac:dyDescent="0.4">
      <c r="A675" s="13">
        <v>77231</v>
      </c>
      <c r="B675" s="14">
        <v>46197</v>
      </c>
      <c r="C675" s="15" t="s">
        <v>102</v>
      </c>
      <c r="D675" s="15" t="s">
        <v>101</v>
      </c>
      <c r="E675" s="15" t="s">
        <v>45</v>
      </c>
      <c r="F675" s="16">
        <v>108922500</v>
      </c>
      <c r="G675" s="16">
        <f>F675*$G$1</f>
        <v>76245750</v>
      </c>
      <c r="H675" s="17"/>
    </row>
    <row r="676" spans="1:8" ht="24.95" customHeight="1" x14ac:dyDescent="0.4">
      <c r="A676" s="13">
        <v>77228</v>
      </c>
      <c r="B676" s="14">
        <v>46197</v>
      </c>
      <c r="C676" s="15" t="s">
        <v>102</v>
      </c>
      <c r="D676" s="15" t="s">
        <v>101</v>
      </c>
      <c r="E676" s="15" t="s">
        <v>15</v>
      </c>
      <c r="F676" s="16">
        <v>41623200</v>
      </c>
      <c r="G676" s="16">
        <f>F676*$G$1</f>
        <v>29136240</v>
      </c>
      <c r="H676" s="17"/>
    </row>
    <row r="677" spans="1:8" ht="24.95" customHeight="1" x14ac:dyDescent="0.4">
      <c r="A677" s="13">
        <v>77661</v>
      </c>
      <c r="B677" s="14">
        <v>46198</v>
      </c>
      <c r="C677" s="15" t="s">
        <v>102</v>
      </c>
      <c r="D677" s="15" t="s">
        <v>101</v>
      </c>
      <c r="E677" s="15" t="s">
        <v>15</v>
      </c>
      <c r="F677" s="16">
        <v>56000000</v>
      </c>
      <c r="G677" s="16">
        <f>F677*$G$1</f>
        <v>39200000</v>
      </c>
      <c r="H677" s="17"/>
    </row>
    <row r="678" spans="1:8" ht="24.95" customHeight="1" x14ac:dyDescent="0.4">
      <c r="A678" s="13">
        <v>77227</v>
      </c>
      <c r="B678" s="14">
        <v>46197</v>
      </c>
      <c r="C678" s="15" t="s">
        <v>102</v>
      </c>
      <c r="D678" s="15" t="s">
        <v>101</v>
      </c>
      <c r="E678" s="15" t="s">
        <v>59</v>
      </c>
      <c r="F678" s="16">
        <v>6646750</v>
      </c>
      <c r="G678" s="16">
        <f>F678*$G$1</f>
        <v>4652725</v>
      </c>
      <c r="H678" s="17"/>
    </row>
    <row r="679" spans="1:8" ht="24.95" customHeight="1" x14ac:dyDescent="0.4">
      <c r="A679" s="13">
        <v>77391</v>
      </c>
      <c r="B679" s="14">
        <v>46191</v>
      </c>
      <c r="C679" s="15" t="s">
        <v>102</v>
      </c>
      <c r="D679" s="15" t="s">
        <v>101</v>
      </c>
      <c r="E679" s="15" t="s">
        <v>59</v>
      </c>
      <c r="F679" s="16">
        <v>838394500</v>
      </c>
      <c r="G679" s="16">
        <f>F679*$G$1</f>
        <v>586876150</v>
      </c>
      <c r="H679" s="17"/>
    </row>
    <row r="680" spans="1:8" ht="24.95" customHeight="1" x14ac:dyDescent="0.4">
      <c r="A680" s="13">
        <v>77455</v>
      </c>
      <c r="B680" s="14">
        <v>46198</v>
      </c>
      <c r="C680" s="15" t="s">
        <v>102</v>
      </c>
      <c r="D680" s="15" t="s">
        <v>101</v>
      </c>
      <c r="E680" s="15" t="s">
        <v>59</v>
      </c>
      <c r="F680" s="16">
        <v>32044500</v>
      </c>
      <c r="G680" s="16">
        <f>F680*$G$1</f>
        <v>22431150</v>
      </c>
      <c r="H680" s="17"/>
    </row>
    <row r="681" spans="1:8" ht="24.95" customHeight="1" x14ac:dyDescent="0.4">
      <c r="A681" s="13">
        <v>77230</v>
      </c>
      <c r="B681" s="14">
        <v>46197</v>
      </c>
      <c r="C681" s="15" t="s">
        <v>102</v>
      </c>
      <c r="D681" s="15" t="s">
        <v>101</v>
      </c>
      <c r="E681" s="15" t="s">
        <v>14</v>
      </c>
      <c r="F681" s="16">
        <v>23835000</v>
      </c>
      <c r="G681" s="16">
        <f>F681*$G$1</f>
        <v>16684499.999999998</v>
      </c>
      <c r="H681" s="17"/>
    </row>
    <row r="682" spans="1:8" ht="24.95" customHeight="1" x14ac:dyDescent="0.4">
      <c r="A682" s="13">
        <v>77233</v>
      </c>
      <c r="B682" s="14">
        <v>46198</v>
      </c>
      <c r="C682" s="15" t="s">
        <v>102</v>
      </c>
      <c r="D682" s="15" t="s">
        <v>101</v>
      </c>
      <c r="E682" s="15" t="s">
        <v>14</v>
      </c>
      <c r="F682" s="16">
        <v>126537000</v>
      </c>
      <c r="G682" s="16">
        <f>F682*$G$1</f>
        <v>88575900</v>
      </c>
      <c r="H682" s="17"/>
    </row>
    <row r="683" spans="1:8" ht="24.95" customHeight="1" x14ac:dyDescent="0.4">
      <c r="A683" s="13">
        <v>77234</v>
      </c>
      <c r="B683" s="14">
        <v>46198</v>
      </c>
      <c r="C683" s="15" t="s">
        <v>102</v>
      </c>
      <c r="D683" s="15" t="s">
        <v>101</v>
      </c>
      <c r="E683" s="15" t="s">
        <v>14</v>
      </c>
      <c r="F683" s="16">
        <v>82354550</v>
      </c>
      <c r="G683" s="16">
        <f>F683*$G$1</f>
        <v>57648185</v>
      </c>
      <c r="H683" s="17"/>
    </row>
    <row r="684" spans="1:8" ht="24.95" customHeight="1" x14ac:dyDescent="0.4">
      <c r="A684" s="13">
        <v>77229</v>
      </c>
      <c r="B684" s="14">
        <v>46197</v>
      </c>
      <c r="C684" s="15" t="s">
        <v>213</v>
      </c>
      <c r="D684" s="15" t="s">
        <v>101</v>
      </c>
      <c r="E684" s="15" t="s">
        <v>10</v>
      </c>
      <c r="F684" s="16">
        <v>13326000</v>
      </c>
      <c r="G684" s="16">
        <f>F684*$G$1</f>
        <v>9328200</v>
      </c>
      <c r="H684" s="17"/>
    </row>
    <row r="685" spans="1:8" ht="24.95" customHeight="1" x14ac:dyDescent="0.4">
      <c r="A685" s="13">
        <v>77232</v>
      </c>
      <c r="B685" s="14">
        <v>46197</v>
      </c>
      <c r="C685" s="15" t="s">
        <v>213</v>
      </c>
      <c r="D685" s="15" t="s">
        <v>101</v>
      </c>
      <c r="E685" s="15" t="s">
        <v>10</v>
      </c>
      <c r="F685" s="16">
        <v>97828500</v>
      </c>
      <c r="G685" s="16">
        <f>F685*$G$1</f>
        <v>68479950</v>
      </c>
      <c r="H685" s="17"/>
    </row>
    <row r="686" spans="1:8" ht="24.95" customHeight="1" x14ac:dyDescent="0.4">
      <c r="A686" s="13">
        <v>77291</v>
      </c>
      <c r="B686" s="14">
        <v>46224</v>
      </c>
      <c r="C686" s="15" t="s">
        <v>175</v>
      </c>
      <c r="D686" s="15" t="s">
        <v>18</v>
      </c>
      <c r="E686" s="15" t="s">
        <v>14</v>
      </c>
      <c r="F686" s="16">
        <v>2055620000</v>
      </c>
      <c r="G686" s="16">
        <f>F686*$G$1</f>
        <v>1438934000</v>
      </c>
      <c r="H686" s="17"/>
    </row>
    <row r="687" spans="1:8" ht="24.95" customHeight="1" x14ac:dyDescent="0.4">
      <c r="A687" s="13">
        <v>77764</v>
      </c>
      <c r="B687" s="14">
        <v>46203</v>
      </c>
      <c r="C687" s="15" t="s">
        <v>175</v>
      </c>
      <c r="D687" s="15" t="s">
        <v>18</v>
      </c>
      <c r="E687" s="15" t="s">
        <v>14</v>
      </c>
      <c r="F687" s="16">
        <v>131360000</v>
      </c>
      <c r="G687" s="16">
        <f>F687*$G$1</f>
        <v>91952000</v>
      </c>
      <c r="H687" s="17"/>
    </row>
    <row r="688" spans="1:8" ht="24.95" customHeight="1" x14ac:dyDescent="0.4">
      <c r="A688" s="13">
        <v>77504</v>
      </c>
      <c r="B688" s="14">
        <v>46199</v>
      </c>
      <c r="C688" s="15" t="s">
        <v>281</v>
      </c>
      <c r="D688" s="15" t="s">
        <v>18</v>
      </c>
      <c r="E688" s="15" t="s">
        <v>14</v>
      </c>
      <c r="F688" s="16">
        <v>28800000</v>
      </c>
      <c r="G688" s="16">
        <f>F688*$G$1</f>
        <v>20160000</v>
      </c>
      <c r="H688" s="17"/>
    </row>
    <row r="689" spans="1:8" ht="24.95" customHeight="1" x14ac:dyDescent="0.4">
      <c r="A689" s="13">
        <v>77761</v>
      </c>
      <c r="B689" s="14">
        <v>46213</v>
      </c>
      <c r="C689" s="15" t="s">
        <v>356</v>
      </c>
      <c r="D689" s="15" t="s">
        <v>18</v>
      </c>
      <c r="E689" s="15" t="s">
        <v>14</v>
      </c>
      <c r="F689" s="16">
        <v>41604870</v>
      </c>
      <c r="G689" s="16">
        <f>F689*$G$1</f>
        <v>29123409</v>
      </c>
      <c r="H689" s="17"/>
    </row>
    <row r="690" spans="1:8" ht="24.95" customHeight="1" x14ac:dyDescent="0.4">
      <c r="A690" s="13">
        <v>77567</v>
      </c>
      <c r="B690" s="14">
        <v>46211</v>
      </c>
      <c r="C690" s="15" t="s">
        <v>299</v>
      </c>
      <c r="D690" s="15" t="s">
        <v>18</v>
      </c>
      <c r="E690" s="15" t="s">
        <v>15</v>
      </c>
      <c r="F690" s="16">
        <v>636949000</v>
      </c>
      <c r="G690" s="16">
        <f>F690*$G$1</f>
        <v>445864300</v>
      </c>
      <c r="H690" s="17"/>
    </row>
    <row r="691" spans="1:8" ht="24.95" customHeight="1" x14ac:dyDescent="0.4">
      <c r="A691" s="13">
        <v>77009</v>
      </c>
      <c r="B691" s="14">
        <v>46191</v>
      </c>
      <c r="C691" s="15" t="s">
        <v>107</v>
      </c>
      <c r="D691" s="15" t="s">
        <v>18</v>
      </c>
      <c r="E691" s="15" t="s">
        <v>15</v>
      </c>
      <c r="F691" s="16">
        <v>314504800</v>
      </c>
      <c r="G691" s="16">
        <f>F691*$G$1</f>
        <v>220153360</v>
      </c>
      <c r="H691" s="17"/>
    </row>
    <row r="692" spans="1:8" ht="24.95" customHeight="1" x14ac:dyDescent="0.4">
      <c r="A692" s="13">
        <v>77813</v>
      </c>
      <c r="B692" s="14">
        <v>46240</v>
      </c>
      <c r="C692" s="15" t="s">
        <v>107</v>
      </c>
      <c r="D692" s="15" t="s">
        <v>18</v>
      </c>
      <c r="E692" s="15" t="s">
        <v>15</v>
      </c>
      <c r="F692" s="16">
        <v>149177253.88</v>
      </c>
      <c r="G692" s="16">
        <v>104424077.72</v>
      </c>
      <c r="H692" s="17"/>
    </row>
    <row r="693" spans="1:8" ht="24.95" customHeight="1" x14ac:dyDescent="0.4">
      <c r="A693" s="13">
        <v>77500</v>
      </c>
      <c r="B693" s="14">
        <v>46198</v>
      </c>
      <c r="C693" s="15" t="s">
        <v>107</v>
      </c>
      <c r="D693" s="15" t="s">
        <v>18</v>
      </c>
      <c r="E693" s="15" t="s">
        <v>10</v>
      </c>
      <c r="F693" s="16">
        <v>855350000</v>
      </c>
      <c r="G693" s="16">
        <v>855350000</v>
      </c>
      <c r="H693" s="17"/>
    </row>
    <row r="694" spans="1:8" ht="24.95" customHeight="1" x14ac:dyDescent="0.4">
      <c r="A694" s="13">
        <v>77637</v>
      </c>
      <c r="B694" s="14">
        <v>46209</v>
      </c>
      <c r="C694" s="15" t="s">
        <v>72</v>
      </c>
      <c r="D694" s="15" t="s">
        <v>18</v>
      </c>
      <c r="E694" s="15" t="s">
        <v>8</v>
      </c>
      <c r="F694" s="16">
        <v>119567154</v>
      </c>
      <c r="G694" s="16">
        <f>F694*$G$1</f>
        <v>83697007.799999997</v>
      </c>
      <c r="H694" s="17"/>
    </row>
    <row r="695" spans="1:8" ht="24.95" customHeight="1" x14ac:dyDescent="0.4">
      <c r="A695" s="13">
        <v>77580</v>
      </c>
      <c r="B695" s="14">
        <v>46209</v>
      </c>
      <c r="C695" s="15" t="s">
        <v>72</v>
      </c>
      <c r="D695" s="15" t="s">
        <v>18</v>
      </c>
      <c r="E695" s="15" t="s">
        <v>15</v>
      </c>
      <c r="F695" s="16">
        <v>80801637</v>
      </c>
      <c r="G695" s="16">
        <f>F695*$G$1</f>
        <v>56561145.899999999</v>
      </c>
      <c r="H695" s="17"/>
    </row>
    <row r="696" spans="1:8" ht="24.95" customHeight="1" x14ac:dyDescent="0.4">
      <c r="A696" s="13">
        <v>77225</v>
      </c>
      <c r="B696" s="14">
        <v>46197</v>
      </c>
      <c r="C696" s="15" t="s">
        <v>72</v>
      </c>
      <c r="D696" s="15" t="s">
        <v>18</v>
      </c>
      <c r="E696" s="15" t="s">
        <v>59</v>
      </c>
      <c r="F696" s="16">
        <v>143000000</v>
      </c>
      <c r="G696" s="16">
        <f>F696*$G$1</f>
        <v>100100000</v>
      </c>
      <c r="H696" s="17"/>
    </row>
    <row r="697" spans="1:8" ht="24.95" customHeight="1" x14ac:dyDescent="0.4">
      <c r="A697" s="13">
        <v>77226</v>
      </c>
      <c r="B697" s="14">
        <v>46212</v>
      </c>
      <c r="C697" s="15" t="s">
        <v>72</v>
      </c>
      <c r="D697" s="15" t="s">
        <v>18</v>
      </c>
      <c r="E697" s="15" t="s">
        <v>59</v>
      </c>
      <c r="F697" s="16">
        <v>197991000</v>
      </c>
      <c r="G697" s="16">
        <f>F697*$G$1</f>
        <v>138593700</v>
      </c>
      <c r="H697" s="17"/>
    </row>
    <row r="698" spans="1:8" ht="24.95" customHeight="1" x14ac:dyDescent="0.4">
      <c r="A698" s="13">
        <v>77579</v>
      </c>
      <c r="B698" s="14">
        <v>46203</v>
      </c>
      <c r="C698" s="15" t="s">
        <v>72</v>
      </c>
      <c r="D698" s="15" t="s">
        <v>18</v>
      </c>
      <c r="E698" s="15" t="s">
        <v>10</v>
      </c>
      <c r="F698" s="16">
        <v>33250000</v>
      </c>
      <c r="G698" s="16">
        <f>F698*$G$1</f>
        <v>23275000</v>
      </c>
      <c r="H698" s="17"/>
    </row>
    <row r="699" spans="1:8" ht="24.95" customHeight="1" x14ac:dyDescent="0.4">
      <c r="A699" s="13">
        <v>77636</v>
      </c>
      <c r="B699" s="14">
        <v>46203</v>
      </c>
      <c r="C699" s="15" t="s">
        <v>323</v>
      </c>
      <c r="D699" s="15" t="s">
        <v>18</v>
      </c>
      <c r="E699" s="15" t="s">
        <v>15</v>
      </c>
      <c r="F699" s="16">
        <v>183284212</v>
      </c>
      <c r="G699" s="16">
        <f>F699*$G$1</f>
        <v>128298948.39999999</v>
      </c>
      <c r="H699" s="17"/>
    </row>
    <row r="700" spans="1:8" ht="24.95" customHeight="1" x14ac:dyDescent="0.4">
      <c r="A700" s="13">
        <v>77659</v>
      </c>
      <c r="B700" s="14">
        <v>46198</v>
      </c>
      <c r="C700" s="15" t="s">
        <v>331</v>
      </c>
      <c r="D700" s="15" t="s">
        <v>18</v>
      </c>
      <c r="E700" s="15" t="s">
        <v>9</v>
      </c>
      <c r="F700" s="16">
        <v>31323940</v>
      </c>
      <c r="G700" s="16">
        <f>F700*$G$1</f>
        <v>21926758</v>
      </c>
      <c r="H700" s="17"/>
    </row>
    <row r="701" spans="1:8" ht="24.95" customHeight="1" x14ac:dyDescent="0.4">
      <c r="A701" s="13">
        <v>75456</v>
      </c>
      <c r="B701" s="14">
        <v>46198</v>
      </c>
      <c r="C701" s="15" t="s">
        <v>96</v>
      </c>
      <c r="D701" s="15" t="s">
        <v>18</v>
      </c>
      <c r="E701" s="15" t="s">
        <v>14</v>
      </c>
      <c r="F701" s="16">
        <v>39480000</v>
      </c>
      <c r="G701" s="16">
        <f>F701*$G$1</f>
        <v>27636000</v>
      </c>
      <c r="H701" s="17"/>
    </row>
    <row r="702" spans="1:8" ht="24.95" customHeight="1" x14ac:dyDescent="0.4">
      <c r="A702" s="13">
        <v>76047</v>
      </c>
      <c r="B702" s="14">
        <v>46220</v>
      </c>
      <c r="C702" s="15" t="s">
        <v>94</v>
      </c>
      <c r="D702" s="15" t="s">
        <v>18</v>
      </c>
      <c r="E702" s="15" t="s">
        <v>8</v>
      </c>
      <c r="F702" s="16">
        <v>189571500</v>
      </c>
      <c r="G702" s="16">
        <v>75828600</v>
      </c>
      <c r="H702" s="17"/>
    </row>
    <row r="703" spans="1:8" ht="24.95" customHeight="1" x14ac:dyDescent="0.4">
      <c r="A703" s="13">
        <v>77660</v>
      </c>
      <c r="B703" s="14">
        <v>46216</v>
      </c>
      <c r="C703" s="15" t="s">
        <v>94</v>
      </c>
      <c r="D703" s="15" t="s">
        <v>18</v>
      </c>
      <c r="E703" s="15" t="s">
        <v>8</v>
      </c>
      <c r="F703" s="16">
        <v>200032000</v>
      </c>
      <c r="G703" s="16">
        <f>F703*$G$1</f>
        <v>140022400</v>
      </c>
      <c r="H703" s="17"/>
    </row>
    <row r="704" spans="1:8" ht="24.95" customHeight="1" x14ac:dyDescent="0.4">
      <c r="A704" s="13">
        <v>77657</v>
      </c>
      <c r="B704" s="14">
        <v>46196</v>
      </c>
      <c r="C704" s="15" t="s">
        <v>94</v>
      </c>
      <c r="D704" s="15" t="s">
        <v>18</v>
      </c>
      <c r="E704" s="15" t="s">
        <v>271</v>
      </c>
      <c r="F704" s="16">
        <v>135182000</v>
      </c>
      <c r="G704" s="16">
        <f>F704*$G$1</f>
        <v>94627400</v>
      </c>
      <c r="H704" s="17"/>
    </row>
    <row r="705" spans="1:8" ht="24.95" customHeight="1" x14ac:dyDescent="0.4">
      <c r="A705" s="13">
        <v>77459</v>
      </c>
      <c r="B705" s="14">
        <v>46196</v>
      </c>
      <c r="C705" s="15" t="s">
        <v>94</v>
      </c>
      <c r="D705" s="15" t="s">
        <v>18</v>
      </c>
      <c r="E705" s="15" t="s">
        <v>59</v>
      </c>
      <c r="F705" s="16">
        <v>119499997.31999999</v>
      </c>
      <c r="G705" s="16">
        <f>F705*$G$1</f>
        <v>83649998.123999983</v>
      </c>
      <c r="H705" s="17"/>
    </row>
    <row r="706" spans="1:8" ht="24.95" customHeight="1" x14ac:dyDescent="0.4">
      <c r="A706" s="13">
        <v>77818</v>
      </c>
      <c r="B706" s="14">
        <v>46206</v>
      </c>
      <c r="C706" s="15" t="s">
        <v>94</v>
      </c>
      <c r="D706" s="15" t="s">
        <v>18</v>
      </c>
      <c r="E706" s="15" t="s">
        <v>59</v>
      </c>
      <c r="F706" s="16">
        <v>937974260</v>
      </c>
      <c r="G706" s="16">
        <f>F706*$G$1</f>
        <v>656581982</v>
      </c>
      <c r="H706" s="17"/>
    </row>
    <row r="707" spans="1:8" ht="24.95" customHeight="1" x14ac:dyDescent="0.4">
      <c r="A707" s="13">
        <v>77479</v>
      </c>
      <c r="B707" s="14">
        <v>46198</v>
      </c>
      <c r="C707" s="15" t="s">
        <v>94</v>
      </c>
      <c r="D707" s="15" t="s">
        <v>18</v>
      </c>
      <c r="E707" s="15" t="s">
        <v>14</v>
      </c>
      <c r="F707" s="16">
        <v>40326700</v>
      </c>
      <c r="G707" s="16">
        <f>F707*$G$1</f>
        <v>28228690</v>
      </c>
      <c r="H707" s="17"/>
    </row>
    <row r="708" spans="1:8" ht="24.95" customHeight="1" x14ac:dyDescent="0.4">
      <c r="A708" s="13">
        <v>77635</v>
      </c>
      <c r="B708" s="14">
        <v>46213</v>
      </c>
      <c r="C708" s="15" t="s">
        <v>94</v>
      </c>
      <c r="D708" s="15" t="s">
        <v>18</v>
      </c>
      <c r="E708" s="15" t="s">
        <v>322</v>
      </c>
      <c r="F708" s="16">
        <v>9869465860</v>
      </c>
      <c r="G708" s="16">
        <f>F708*$G$1</f>
        <v>6908626102</v>
      </c>
      <c r="H708" s="17"/>
    </row>
    <row r="709" spans="1:8" ht="24.95" customHeight="1" x14ac:dyDescent="0.4">
      <c r="A709" s="13">
        <v>77577</v>
      </c>
      <c r="B709" s="14">
        <v>46198</v>
      </c>
      <c r="C709" s="15" t="s">
        <v>94</v>
      </c>
      <c r="D709" s="15" t="s">
        <v>18</v>
      </c>
      <c r="E709" s="15" t="s">
        <v>11</v>
      </c>
      <c r="F709" s="16">
        <v>42780000</v>
      </c>
      <c r="G709" s="16">
        <f>F709*$G$1</f>
        <v>29945999.999999996</v>
      </c>
      <c r="H709" s="17" t="s">
        <v>302</v>
      </c>
    </row>
    <row r="710" spans="1:8" ht="24.95" customHeight="1" x14ac:dyDescent="0.4">
      <c r="A710" s="13">
        <v>77460</v>
      </c>
      <c r="B710" s="14">
        <v>46203</v>
      </c>
      <c r="C710" s="15" t="s">
        <v>266</v>
      </c>
      <c r="D710" s="15" t="s">
        <v>18</v>
      </c>
      <c r="E710" s="15" t="s">
        <v>14</v>
      </c>
      <c r="F710" s="16">
        <v>173337000</v>
      </c>
      <c r="G710" s="16">
        <f>F710*$G$1</f>
        <v>121335899.99999999</v>
      </c>
      <c r="H710" s="17"/>
    </row>
    <row r="711" spans="1:8" ht="24.95" customHeight="1" x14ac:dyDescent="0.4">
      <c r="A711" s="13">
        <v>77492</v>
      </c>
      <c r="B711" s="14">
        <v>46199</v>
      </c>
      <c r="C711" s="15" t="s">
        <v>277</v>
      </c>
      <c r="D711" s="15" t="s">
        <v>18</v>
      </c>
      <c r="E711" s="15" t="s">
        <v>14</v>
      </c>
      <c r="F711" s="16">
        <v>235153600</v>
      </c>
      <c r="G711" s="16">
        <f>F711*$G$1</f>
        <v>164607520</v>
      </c>
      <c r="H711" s="17"/>
    </row>
    <row r="712" spans="1:8" ht="24.95" customHeight="1" x14ac:dyDescent="0.4">
      <c r="A712" s="13">
        <v>77483</v>
      </c>
      <c r="B712" s="14">
        <v>46197</v>
      </c>
      <c r="C712" s="15" t="s">
        <v>272</v>
      </c>
      <c r="D712" s="15" t="s">
        <v>18</v>
      </c>
      <c r="E712" s="15" t="s">
        <v>10</v>
      </c>
      <c r="F712" s="16">
        <v>44928000</v>
      </c>
      <c r="G712" s="16">
        <f>F712*$G$1</f>
        <v>31449599.999999996</v>
      </c>
      <c r="H712" s="17"/>
    </row>
    <row r="713" spans="1:8" ht="24.95" customHeight="1" x14ac:dyDescent="0.4">
      <c r="A713" s="13">
        <v>77486</v>
      </c>
      <c r="B713" s="14">
        <v>46226</v>
      </c>
      <c r="C713" s="15" t="s">
        <v>181</v>
      </c>
      <c r="D713" s="15" t="s">
        <v>18</v>
      </c>
      <c r="E713" s="15" t="s">
        <v>15</v>
      </c>
      <c r="F713" s="16">
        <v>377499000</v>
      </c>
      <c r="G713" s="16">
        <f>F713*$G$1</f>
        <v>264249299.99999997</v>
      </c>
      <c r="H713" s="17"/>
    </row>
    <row r="714" spans="1:8" ht="24.95" customHeight="1" x14ac:dyDescent="0.4">
      <c r="A714" s="13">
        <v>77287</v>
      </c>
      <c r="B714" s="14">
        <v>46196</v>
      </c>
      <c r="C714" s="15" t="s">
        <v>181</v>
      </c>
      <c r="D714" s="15" t="s">
        <v>18</v>
      </c>
      <c r="E714" s="15" t="s">
        <v>10</v>
      </c>
      <c r="F714" s="16">
        <v>1402200000</v>
      </c>
      <c r="G714" s="16">
        <f>F714*$G$1</f>
        <v>981539999.99999988</v>
      </c>
      <c r="H714" s="17"/>
    </row>
    <row r="715" spans="1:8" ht="24.95" customHeight="1" x14ac:dyDescent="0.4">
      <c r="A715" s="13">
        <v>77574</v>
      </c>
      <c r="B715" s="14">
        <v>46199</v>
      </c>
      <c r="C715" s="15" t="s">
        <v>181</v>
      </c>
      <c r="D715" s="15" t="s">
        <v>18</v>
      </c>
      <c r="E715" s="15" t="s">
        <v>10</v>
      </c>
      <c r="F715" s="16">
        <v>35980474464</v>
      </c>
      <c r="G715" s="16">
        <f>F715*$G$1</f>
        <v>25186332124.799999</v>
      </c>
      <c r="H715" s="17"/>
    </row>
    <row r="716" spans="1:8" ht="24.95" customHeight="1" x14ac:dyDescent="0.4">
      <c r="A716" s="13">
        <v>77554</v>
      </c>
      <c r="B716" s="14">
        <v>46199</v>
      </c>
      <c r="C716" s="15" t="s">
        <v>181</v>
      </c>
      <c r="D716" s="15" t="s">
        <v>18</v>
      </c>
      <c r="E716" s="15" t="s">
        <v>9</v>
      </c>
      <c r="F716" s="16">
        <v>33104229500</v>
      </c>
      <c r="G716" s="16">
        <f>F716*$G$1</f>
        <v>23172960650</v>
      </c>
      <c r="H716" s="17"/>
    </row>
    <row r="717" spans="1:8" ht="24.95" customHeight="1" x14ac:dyDescent="0.4">
      <c r="A717" s="13">
        <v>77658</v>
      </c>
      <c r="B717" s="14">
        <v>46198</v>
      </c>
      <c r="C717" s="15" t="s">
        <v>278</v>
      </c>
      <c r="D717" s="15" t="s">
        <v>18</v>
      </c>
      <c r="E717" s="15" t="s">
        <v>330</v>
      </c>
      <c r="F717" s="16">
        <v>312808861</v>
      </c>
      <c r="G717" s="16">
        <f>F717*$G$1</f>
        <v>218966202.69999999</v>
      </c>
      <c r="H717" s="17"/>
    </row>
    <row r="718" spans="1:8" ht="24.95" customHeight="1" x14ac:dyDescent="0.4">
      <c r="A718" s="13">
        <v>77493</v>
      </c>
      <c r="B718" s="14">
        <v>46198</v>
      </c>
      <c r="C718" s="15" t="s">
        <v>278</v>
      </c>
      <c r="D718" s="15" t="s">
        <v>18</v>
      </c>
      <c r="E718" s="15" t="s">
        <v>14</v>
      </c>
      <c r="F718" s="16">
        <v>312808861.5</v>
      </c>
      <c r="G718" s="16">
        <f>F718*$G$1</f>
        <v>218966203.04999998</v>
      </c>
      <c r="H718" s="17"/>
    </row>
    <row r="719" spans="1:8" ht="24.95" customHeight="1" x14ac:dyDescent="0.4">
      <c r="A719" s="13">
        <v>77762</v>
      </c>
      <c r="B719" s="14">
        <v>46205</v>
      </c>
      <c r="C719" s="15" t="s">
        <v>357</v>
      </c>
      <c r="D719" s="15" t="s">
        <v>18</v>
      </c>
      <c r="E719" s="15" t="s">
        <v>9</v>
      </c>
      <c r="F719" s="16">
        <v>34470000</v>
      </c>
      <c r="G719" s="16">
        <f>F719*$G$1</f>
        <v>24129000</v>
      </c>
      <c r="H719" s="17"/>
    </row>
    <row r="720" spans="1:8" ht="24.95" customHeight="1" x14ac:dyDescent="0.4">
      <c r="A720" s="13">
        <v>77278</v>
      </c>
      <c r="B720" s="14">
        <v>46191</v>
      </c>
      <c r="C720" s="15" t="s">
        <v>228</v>
      </c>
      <c r="D720" s="15" t="s">
        <v>18</v>
      </c>
      <c r="E720" s="15" t="s">
        <v>14</v>
      </c>
      <c r="F720" s="16">
        <v>143392000</v>
      </c>
      <c r="G720" s="16">
        <f>F720*$G$1</f>
        <v>100374400</v>
      </c>
      <c r="H720" s="17"/>
    </row>
    <row r="721" spans="1:8" ht="24.95" customHeight="1" x14ac:dyDescent="0.4">
      <c r="A721" s="13">
        <v>77279</v>
      </c>
      <c r="B721" s="14">
        <v>46191</v>
      </c>
      <c r="C721" s="15" t="s">
        <v>228</v>
      </c>
      <c r="D721" s="15" t="s">
        <v>18</v>
      </c>
      <c r="E721" s="15" t="s">
        <v>14</v>
      </c>
      <c r="F721" s="16">
        <v>33592000</v>
      </c>
      <c r="G721" s="16">
        <f>F721*$G$1</f>
        <v>23514400</v>
      </c>
      <c r="H721" s="17"/>
    </row>
    <row r="722" spans="1:8" ht="24.95" customHeight="1" x14ac:dyDescent="0.4">
      <c r="A722" s="13">
        <v>77447</v>
      </c>
      <c r="B722" s="14">
        <v>46272</v>
      </c>
      <c r="C722" s="15" t="s">
        <v>262</v>
      </c>
      <c r="D722" s="15" t="s">
        <v>18</v>
      </c>
      <c r="E722" s="15" t="s">
        <v>121</v>
      </c>
      <c r="F722" s="16">
        <v>69660500</v>
      </c>
      <c r="G722" s="16">
        <f>F722*$G$1</f>
        <v>48762350</v>
      </c>
      <c r="H722" s="17"/>
    </row>
    <row r="723" spans="1:8" ht="24.95" customHeight="1" x14ac:dyDescent="0.4">
      <c r="A723" s="13">
        <v>77519</v>
      </c>
      <c r="B723" s="14">
        <v>46199</v>
      </c>
      <c r="C723" s="15" t="s">
        <v>51</v>
      </c>
      <c r="D723" s="15" t="s">
        <v>25</v>
      </c>
      <c r="E723" s="15" t="s">
        <v>10</v>
      </c>
      <c r="F723" s="16">
        <v>92066240</v>
      </c>
      <c r="G723" s="16">
        <v>92066240</v>
      </c>
      <c r="H723" s="17"/>
    </row>
    <row r="724" spans="1:8" ht="24.95" customHeight="1" x14ac:dyDescent="0.4">
      <c r="A724" s="13">
        <v>77792</v>
      </c>
      <c r="B724" s="14">
        <v>46205</v>
      </c>
      <c r="C724" s="15" t="s">
        <v>324</v>
      </c>
      <c r="D724" s="15" t="s">
        <v>25</v>
      </c>
      <c r="E724" s="15" t="s">
        <v>15</v>
      </c>
      <c r="F724" s="16">
        <v>215998198</v>
      </c>
      <c r="G724" s="16">
        <f>F724*$G$1</f>
        <v>151198738.59999999</v>
      </c>
      <c r="H724" s="17"/>
    </row>
    <row r="725" spans="1:8" ht="24.95" customHeight="1" x14ac:dyDescent="0.4">
      <c r="A725" s="13">
        <v>77638</v>
      </c>
      <c r="B725" s="14">
        <v>46210</v>
      </c>
      <c r="C725" s="15" t="s">
        <v>324</v>
      </c>
      <c r="D725" s="15" t="s">
        <v>25</v>
      </c>
      <c r="E725" s="15" t="s">
        <v>9</v>
      </c>
      <c r="F725" s="16">
        <v>102032160</v>
      </c>
      <c r="G725" s="16">
        <f>F725*$G$1</f>
        <v>71422512</v>
      </c>
      <c r="H725" s="17"/>
    </row>
    <row r="726" spans="1:8" ht="24.95" customHeight="1" x14ac:dyDescent="0.4">
      <c r="A726" s="13">
        <v>77647</v>
      </c>
      <c r="B726" s="14">
        <v>46197</v>
      </c>
      <c r="C726" s="15" t="s">
        <v>187</v>
      </c>
      <c r="D726" s="15" t="s">
        <v>25</v>
      </c>
      <c r="E726" s="15" t="s">
        <v>327</v>
      </c>
      <c r="F726" s="16">
        <v>126671797</v>
      </c>
      <c r="G726" s="16">
        <f>F726*$G$1</f>
        <v>88670257.899999991</v>
      </c>
      <c r="H726" s="17"/>
    </row>
    <row r="727" spans="1:8" ht="24.95" customHeight="1" x14ac:dyDescent="0.4">
      <c r="A727" s="13">
        <v>77811</v>
      </c>
      <c r="B727" s="14">
        <v>46205</v>
      </c>
      <c r="C727" s="15" t="s">
        <v>187</v>
      </c>
      <c r="D727" s="15" t="s">
        <v>25</v>
      </c>
      <c r="E727" s="15" t="s">
        <v>8</v>
      </c>
      <c r="F727" s="16">
        <v>93138622.930000007</v>
      </c>
      <c r="G727" s="16">
        <v>65197036.049999997</v>
      </c>
      <c r="H727" s="17"/>
    </row>
    <row r="728" spans="1:8" ht="24.95" customHeight="1" x14ac:dyDescent="0.4">
      <c r="A728" s="13">
        <v>77056</v>
      </c>
      <c r="B728" s="14">
        <v>46192</v>
      </c>
      <c r="C728" s="15" t="s">
        <v>187</v>
      </c>
      <c r="D728" s="15" t="s">
        <v>25</v>
      </c>
      <c r="E728" s="15" t="s">
        <v>14</v>
      </c>
      <c r="F728" s="16">
        <v>346933348</v>
      </c>
      <c r="G728" s="16">
        <f>F728*$G$1</f>
        <v>242853343.59999999</v>
      </c>
      <c r="H728" s="17"/>
    </row>
    <row r="729" spans="1:8" ht="24.95" customHeight="1" x14ac:dyDescent="0.4">
      <c r="A729" s="13">
        <v>76395</v>
      </c>
      <c r="B729" s="14">
        <v>46255</v>
      </c>
      <c r="C729" s="15" t="s">
        <v>128</v>
      </c>
      <c r="D729" s="15" t="s">
        <v>25</v>
      </c>
      <c r="E729" s="15" t="s">
        <v>14</v>
      </c>
      <c r="F729" s="16">
        <v>136957500</v>
      </c>
      <c r="G729" s="16">
        <f>F729*$G$1</f>
        <v>95870250</v>
      </c>
      <c r="H729" s="17"/>
    </row>
    <row r="730" spans="1:8" ht="24.95" customHeight="1" x14ac:dyDescent="0.4">
      <c r="A730" s="13">
        <v>76397</v>
      </c>
      <c r="B730" s="14">
        <v>46234</v>
      </c>
      <c r="C730" s="15" t="s">
        <v>128</v>
      </c>
      <c r="D730" s="15" t="s">
        <v>25</v>
      </c>
      <c r="E730" s="15" t="s">
        <v>11</v>
      </c>
      <c r="F730" s="16">
        <v>3210000</v>
      </c>
      <c r="G730" s="16">
        <f>F730*$G$1</f>
        <v>2247000</v>
      </c>
      <c r="H730" s="17" t="s">
        <v>130</v>
      </c>
    </row>
    <row r="731" spans="1:8" ht="24.95" customHeight="1" x14ac:dyDescent="0.4">
      <c r="A731" s="13">
        <v>77516</v>
      </c>
      <c r="B731" s="14">
        <v>46206</v>
      </c>
      <c r="C731" s="15" t="s">
        <v>29</v>
      </c>
      <c r="D731" s="15" t="s">
        <v>25</v>
      </c>
      <c r="E731" s="15" t="s">
        <v>8</v>
      </c>
      <c r="F731" s="16">
        <v>901366500</v>
      </c>
      <c r="G731" s="16">
        <f>F731*$G$1</f>
        <v>630956550</v>
      </c>
      <c r="H731" s="17"/>
    </row>
    <row r="732" spans="1:8" ht="24.95" customHeight="1" x14ac:dyDescent="0.4">
      <c r="A732" s="13">
        <v>77522</v>
      </c>
      <c r="B732" s="14">
        <v>46203</v>
      </c>
      <c r="C732" s="15" t="s">
        <v>29</v>
      </c>
      <c r="D732" s="15" t="s">
        <v>25</v>
      </c>
      <c r="E732" s="15" t="s">
        <v>8</v>
      </c>
      <c r="F732" s="16">
        <v>299895000</v>
      </c>
      <c r="G732" s="16">
        <f>F732*$G$1</f>
        <v>209926500</v>
      </c>
      <c r="H732" s="17"/>
    </row>
    <row r="733" spans="1:8" ht="24.95" customHeight="1" x14ac:dyDescent="0.4">
      <c r="A733" s="13">
        <v>77535</v>
      </c>
      <c r="B733" s="14">
        <v>46224</v>
      </c>
      <c r="C733" s="15" t="s">
        <v>29</v>
      </c>
      <c r="D733" s="15" t="s">
        <v>25</v>
      </c>
      <c r="E733" s="15" t="s">
        <v>8</v>
      </c>
      <c r="F733" s="16">
        <v>132463200</v>
      </c>
      <c r="G733" s="16">
        <f>F733*$G$1</f>
        <v>92724240</v>
      </c>
      <c r="H733" s="17"/>
    </row>
    <row r="734" spans="1:8" ht="24.95" customHeight="1" x14ac:dyDescent="0.4">
      <c r="A734" s="13">
        <v>77650</v>
      </c>
      <c r="B734" s="14">
        <v>46218</v>
      </c>
      <c r="C734" s="15" t="s">
        <v>29</v>
      </c>
      <c r="D734" s="15" t="s">
        <v>25</v>
      </c>
      <c r="E734" s="15" t="s">
        <v>8</v>
      </c>
      <c r="F734" s="16">
        <v>162508750</v>
      </c>
      <c r="G734" s="16">
        <f>F734*$G$1</f>
        <v>113756125</v>
      </c>
      <c r="H734" s="17"/>
    </row>
    <row r="735" spans="1:8" ht="24.95" customHeight="1" x14ac:dyDescent="0.4">
      <c r="A735" s="13">
        <v>75542</v>
      </c>
      <c r="B735" s="14">
        <v>46216</v>
      </c>
      <c r="C735" s="15" t="s">
        <v>29</v>
      </c>
      <c r="D735" s="15" t="s">
        <v>25</v>
      </c>
      <c r="E735" s="15" t="s">
        <v>105</v>
      </c>
      <c r="F735" s="16">
        <v>214996500</v>
      </c>
      <c r="G735" s="16">
        <f>F735*$G$1</f>
        <v>150497550</v>
      </c>
      <c r="H735" s="17"/>
    </row>
    <row r="736" spans="1:8" ht="24.95" customHeight="1" x14ac:dyDescent="0.4">
      <c r="A736" s="13">
        <v>75657</v>
      </c>
      <c r="B736" s="14">
        <v>46216</v>
      </c>
      <c r="C736" s="15" t="s">
        <v>29</v>
      </c>
      <c r="D736" s="15" t="s">
        <v>25</v>
      </c>
      <c r="E736" s="15" t="s">
        <v>61</v>
      </c>
      <c r="F736" s="16">
        <v>196096500</v>
      </c>
      <c r="G736" s="16">
        <f>F736*$G$1</f>
        <v>137267550</v>
      </c>
      <c r="H736" s="17"/>
    </row>
    <row r="737" spans="1:8" ht="24.95" customHeight="1" x14ac:dyDescent="0.4">
      <c r="A737" s="13">
        <v>77346</v>
      </c>
      <c r="B737" s="14">
        <v>46191</v>
      </c>
      <c r="C737" s="15" t="s">
        <v>29</v>
      </c>
      <c r="D737" s="15" t="s">
        <v>25</v>
      </c>
      <c r="E737" s="15" t="s">
        <v>15</v>
      </c>
      <c r="F737" s="16">
        <v>606867000</v>
      </c>
      <c r="G737" s="16">
        <f>F737*$G$1</f>
        <v>424806900</v>
      </c>
      <c r="H737" s="17"/>
    </row>
    <row r="738" spans="1:8" ht="24.95" customHeight="1" x14ac:dyDescent="0.4">
      <c r="A738" s="13">
        <v>77449</v>
      </c>
      <c r="B738" s="14">
        <v>46191</v>
      </c>
      <c r="C738" s="15" t="s">
        <v>29</v>
      </c>
      <c r="D738" s="15" t="s">
        <v>25</v>
      </c>
      <c r="E738" s="15" t="s">
        <v>15</v>
      </c>
      <c r="F738" s="16">
        <v>591246363</v>
      </c>
      <c r="G738" s="16">
        <f>F738*$G$1</f>
        <v>413872454.09999996</v>
      </c>
      <c r="H738" s="17"/>
    </row>
    <row r="739" spans="1:8" ht="24.95" customHeight="1" x14ac:dyDescent="0.4">
      <c r="A739" s="13">
        <v>77520</v>
      </c>
      <c r="B739" s="14">
        <v>46209</v>
      </c>
      <c r="C739" s="15" t="s">
        <v>29</v>
      </c>
      <c r="D739" s="15" t="s">
        <v>25</v>
      </c>
      <c r="E739" s="15" t="s">
        <v>15</v>
      </c>
      <c r="F739" s="16">
        <v>72300000</v>
      </c>
      <c r="G739" s="16">
        <f>F739*$G$1</f>
        <v>50610000</v>
      </c>
      <c r="H739" s="17"/>
    </row>
    <row r="740" spans="1:8" ht="24.95" customHeight="1" x14ac:dyDescent="0.4">
      <c r="A740" s="13">
        <v>77527</v>
      </c>
      <c r="B740" s="14">
        <v>46191</v>
      </c>
      <c r="C740" s="15" t="s">
        <v>29</v>
      </c>
      <c r="D740" s="15" t="s">
        <v>25</v>
      </c>
      <c r="E740" s="15" t="s">
        <v>15</v>
      </c>
      <c r="F740" s="16">
        <v>276000000</v>
      </c>
      <c r="G740" s="16">
        <v>276000000</v>
      </c>
      <c r="H740" s="17"/>
    </row>
    <row r="741" spans="1:8" ht="24.95" customHeight="1" x14ac:dyDescent="0.4">
      <c r="A741" s="13">
        <v>77646</v>
      </c>
      <c r="B741" s="14">
        <v>46197</v>
      </c>
      <c r="C741" s="15" t="s">
        <v>29</v>
      </c>
      <c r="D741" s="15" t="s">
        <v>25</v>
      </c>
      <c r="E741" s="15" t="s">
        <v>59</v>
      </c>
      <c r="F741" s="16">
        <v>520548000</v>
      </c>
      <c r="G741" s="16">
        <f>F741*$G$1</f>
        <v>364383600</v>
      </c>
      <c r="H741" s="17"/>
    </row>
    <row r="742" spans="1:8" ht="24.95" customHeight="1" x14ac:dyDescent="0.4">
      <c r="A742" s="13">
        <v>77784</v>
      </c>
      <c r="B742" s="14">
        <v>46212</v>
      </c>
      <c r="C742" s="15" t="s">
        <v>29</v>
      </c>
      <c r="D742" s="15" t="s">
        <v>25</v>
      </c>
      <c r="E742" s="15" t="s">
        <v>99</v>
      </c>
      <c r="F742" s="16">
        <v>182698521</v>
      </c>
      <c r="G742" s="16">
        <f>F742*$G$1</f>
        <v>127888964.69999999</v>
      </c>
      <c r="H742" s="17"/>
    </row>
    <row r="743" spans="1:8" ht="24.95" customHeight="1" x14ac:dyDescent="0.4">
      <c r="A743" s="13">
        <v>77517</v>
      </c>
      <c r="B743" s="14">
        <v>46206</v>
      </c>
      <c r="C743" s="15" t="s">
        <v>29</v>
      </c>
      <c r="D743" s="15" t="s">
        <v>25</v>
      </c>
      <c r="E743" s="15" t="s">
        <v>207</v>
      </c>
      <c r="F743" s="16">
        <v>35001750</v>
      </c>
      <c r="G743" s="16">
        <f>F743*$G$1</f>
        <v>24501225</v>
      </c>
      <c r="H743" s="17"/>
    </row>
    <row r="744" spans="1:8" ht="24.95" customHeight="1" x14ac:dyDescent="0.4">
      <c r="A744" s="13">
        <v>77518</v>
      </c>
      <c r="B744" s="14">
        <v>46206</v>
      </c>
      <c r="C744" s="15" t="s">
        <v>29</v>
      </c>
      <c r="D744" s="15" t="s">
        <v>25</v>
      </c>
      <c r="E744" s="15" t="s">
        <v>207</v>
      </c>
      <c r="F744" s="16">
        <v>35001750</v>
      </c>
      <c r="G744" s="16">
        <f>F744*$G$1</f>
        <v>24501225</v>
      </c>
      <c r="H744" s="17"/>
    </row>
    <row r="745" spans="1:8" ht="24.95" customHeight="1" x14ac:dyDescent="0.4">
      <c r="A745" s="13">
        <v>77350</v>
      </c>
      <c r="B745" s="14">
        <v>46203</v>
      </c>
      <c r="C745" s="15" t="s">
        <v>29</v>
      </c>
      <c r="D745" s="15" t="s">
        <v>25</v>
      </c>
      <c r="E745" s="15" t="s">
        <v>14</v>
      </c>
      <c r="F745" s="16">
        <v>116137500</v>
      </c>
      <c r="G745" s="16">
        <f>F745*$G$1</f>
        <v>81296250</v>
      </c>
      <c r="H745" s="17"/>
    </row>
    <row r="746" spans="1:8" ht="24.95" customHeight="1" x14ac:dyDescent="0.4">
      <c r="A746" s="13">
        <v>77354</v>
      </c>
      <c r="B746" s="14">
        <v>46191</v>
      </c>
      <c r="C746" s="15" t="s">
        <v>29</v>
      </c>
      <c r="D746" s="15" t="s">
        <v>25</v>
      </c>
      <c r="E746" s="15" t="s">
        <v>14</v>
      </c>
      <c r="F746" s="16">
        <v>236823750</v>
      </c>
      <c r="G746" s="16">
        <f>F746*$G$1</f>
        <v>165776625</v>
      </c>
      <c r="H746" s="17"/>
    </row>
    <row r="747" spans="1:8" ht="24.95" customHeight="1" x14ac:dyDescent="0.4">
      <c r="A747" s="13">
        <v>77448</v>
      </c>
      <c r="B747" s="14">
        <v>46199</v>
      </c>
      <c r="C747" s="15" t="s">
        <v>29</v>
      </c>
      <c r="D747" s="15" t="s">
        <v>25</v>
      </c>
      <c r="E747" s="15" t="s">
        <v>14</v>
      </c>
      <c r="F747" s="16">
        <v>1202581500</v>
      </c>
      <c r="G747" s="16">
        <f>F747*$G$1</f>
        <v>841807050</v>
      </c>
      <c r="H747" s="17"/>
    </row>
    <row r="748" spans="1:8" ht="24.95" customHeight="1" x14ac:dyDescent="0.4">
      <c r="A748" s="13">
        <v>77521</v>
      </c>
      <c r="B748" s="14">
        <v>46204</v>
      </c>
      <c r="C748" s="15" t="s">
        <v>29</v>
      </c>
      <c r="D748" s="15" t="s">
        <v>25</v>
      </c>
      <c r="E748" s="15" t="s">
        <v>14</v>
      </c>
      <c r="F748" s="16">
        <v>3321912000</v>
      </c>
      <c r="G748" s="16">
        <f>F748*$G$1</f>
        <v>2325338400</v>
      </c>
      <c r="H748" s="17"/>
    </row>
    <row r="749" spans="1:8" ht="24.95" customHeight="1" x14ac:dyDescent="0.4">
      <c r="A749" s="13">
        <v>77532</v>
      </c>
      <c r="B749" s="14">
        <v>46210</v>
      </c>
      <c r="C749" s="15" t="s">
        <v>29</v>
      </c>
      <c r="D749" s="15" t="s">
        <v>25</v>
      </c>
      <c r="E749" s="15" t="s">
        <v>14</v>
      </c>
      <c r="F749" s="16">
        <v>383140500</v>
      </c>
      <c r="G749" s="16">
        <f>F749*$G$1</f>
        <v>268198349.99999997</v>
      </c>
      <c r="H749" s="17"/>
    </row>
    <row r="750" spans="1:8" ht="24.95" customHeight="1" x14ac:dyDescent="0.4">
      <c r="A750" s="13">
        <v>77533</v>
      </c>
      <c r="B750" s="14">
        <v>46211</v>
      </c>
      <c r="C750" s="15" t="s">
        <v>29</v>
      </c>
      <c r="D750" s="15" t="s">
        <v>25</v>
      </c>
      <c r="E750" s="15" t="s">
        <v>14</v>
      </c>
      <c r="F750" s="16">
        <v>130209000</v>
      </c>
      <c r="G750" s="16">
        <f>F750*$G$1</f>
        <v>91146300</v>
      </c>
      <c r="H750" s="17"/>
    </row>
    <row r="751" spans="1:8" ht="24.95" customHeight="1" x14ac:dyDescent="0.4">
      <c r="A751" s="13">
        <v>77639</v>
      </c>
      <c r="B751" s="14">
        <v>46212</v>
      </c>
      <c r="C751" s="15" t="s">
        <v>29</v>
      </c>
      <c r="D751" s="15" t="s">
        <v>25</v>
      </c>
      <c r="E751" s="15" t="s">
        <v>14</v>
      </c>
      <c r="F751" s="16">
        <v>182698521</v>
      </c>
      <c r="G751" s="16">
        <f>F751*$G$1</f>
        <v>127888964.69999999</v>
      </c>
      <c r="H751" s="17"/>
    </row>
    <row r="752" spans="1:8" ht="24.95" customHeight="1" x14ac:dyDescent="0.4">
      <c r="A752" s="13">
        <v>77514</v>
      </c>
      <c r="B752" s="14">
        <v>46212</v>
      </c>
      <c r="C752" s="15" t="s">
        <v>29</v>
      </c>
      <c r="D752" s="15" t="s">
        <v>25</v>
      </c>
      <c r="E752" s="15" t="s">
        <v>216</v>
      </c>
      <c r="F752" s="16">
        <v>36797275</v>
      </c>
      <c r="G752" s="16">
        <f>F752*$G$1</f>
        <v>25758092.5</v>
      </c>
      <c r="H752" s="17"/>
    </row>
    <row r="753" spans="1:8" ht="24.95" customHeight="1" x14ac:dyDescent="0.4">
      <c r="A753" s="13">
        <v>77523</v>
      </c>
      <c r="B753" s="14">
        <v>46197</v>
      </c>
      <c r="C753" s="15" t="s">
        <v>29</v>
      </c>
      <c r="D753" s="15" t="s">
        <v>25</v>
      </c>
      <c r="E753" s="15" t="s">
        <v>216</v>
      </c>
      <c r="F753" s="16">
        <v>205796000</v>
      </c>
      <c r="G753" s="16">
        <f>F753*$G$1</f>
        <v>144057200</v>
      </c>
      <c r="H753" s="17"/>
    </row>
    <row r="754" spans="1:8" ht="24.95" customHeight="1" x14ac:dyDescent="0.4">
      <c r="A754" s="13">
        <v>77787</v>
      </c>
      <c r="B754" s="14">
        <v>46206</v>
      </c>
      <c r="C754" s="15" t="s">
        <v>29</v>
      </c>
      <c r="D754" s="15" t="s">
        <v>25</v>
      </c>
      <c r="E754" s="15" t="s">
        <v>30</v>
      </c>
      <c r="F754" s="16">
        <v>186500000</v>
      </c>
      <c r="G754" s="16">
        <f>F754*$G$1</f>
        <v>130549999.99999999</v>
      </c>
      <c r="H754" s="17"/>
    </row>
    <row r="755" spans="1:8" ht="24.95" customHeight="1" x14ac:dyDescent="0.4">
      <c r="A755" s="13">
        <v>77353</v>
      </c>
      <c r="B755" s="14">
        <v>46219</v>
      </c>
      <c r="C755" s="15" t="s">
        <v>29</v>
      </c>
      <c r="D755" s="15" t="s">
        <v>25</v>
      </c>
      <c r="E755" s="15" t="s">
        <v>37</v>
      </c>
      <c r="F755" s="16">
        <v>48049500</v>
      </c>
      <c r="G755" s="16">
        <f>F755*$G$1</f>
        <v>33634650</v>
      </c>
      <c r="H755" s="17"/>
    </row>
    <row r="756" spans="1:8" ht="24.95" customHeight="1" x14ac:dyDescent="0.4">
      <c r="A756" s="13">
        <v>77536</v>
      </c>
      <c r="B756" s="14">
        <v>46205</v>
      </c>
      <c r="C756" s="15" t="s">
        <v>29</v>
      </c>
      <c r="D756" s="15" t="s">
        <v>25</v>
      </c>
      <c r="E756" s="15" t="s">
        <v>11</v>
      </c>
      <c r="F756" s="16">
        <v>19325000</v>
      </c>
      <c r="G756" s="16">
        <f>F756*$G$1</f>
        <v>13527500</v>
      </c>
      <c r="H756" s="17" t="s">
        <v>288</v>
      </c>
    </row>
    <row r="757" spans="1:8" ht="24.95" customHeight="1" x14ac:dyDescent="0.4">
      <c r="A757" s="13">
        <v>77572</v>
      </c>
      <c r="B757" s="14">
        <v>46191</v>
      </c>
      <c r="C757" s="15" t="s">
        <v>29</v>
      </c>
      <c r="D757" s="15" t="s">
        <v>25</v>
      </c>
      <c r="E757" s="15" t="s">
        <v>11</v>
      </c>
      <c r="F757" s="16">
        <v>1220000</v>
      </c>
      <c r="G757" s="16">
        <f>F757*$G$1</f>
        <v>854000</v>
      </c>
      <c r="H757" s="17" t="s">
        <v>300</v>
      </c>
    </row>
    <row r="758" spans="1:8" ht="24.95" customHeight="1" x14ac:dyDescent="0.4">
      <c r="A758" s="13">
        <v>77640</v>
      </c>
      <c r="B758" s="14">
        <v>46210</v>
      </c>
      <c r="C758" s="15" t="s">
        <v>29</v>
      </c>
      <c r="D758" s="15" t="s">
        <v>25</v>
      </c>
      <c r="E758" s="15" t="s">
        <v>11</v>
      </c>
      <c r="F758" s="16">
        <v>15700000</v>
      </c>
      <c r="G758" s="16">
        <f>F758*$G$1</f>
        <v>10990000</v>
      </c>
      <c r="H758" s="17" t="s">
        <v>11</v>
      </c>
    </row>
    <row r="759" spans="1:8" ht="24.95" customHeight="1" x14ac:dyDescent="0.4">
      <c r="A759" s="13">
        <v>77760</v>
      </c>
      <c r="B759" s="14">
        <v>46209</v>
      </c>
      <c r="C759" s="15" t="s">
        <v>29</v>
      </c>
      <c r="D759" s="15" t="s">
        <v>25</v>
      </c>
      <c r="E759" s="15" t="s">
        <v>11</v>
      </c>
      <c r="F759" s="16">
        <v>31497000</v>
      </c>
      <c r="G759" s="16">
        <f>F759*$G$1</f>
        <v>22047900</v>
      </c>
      <c r="H759" s="17" t="s">
        <v>355</v>
      </c>
    </row>
    <row r="760" spans="1:8" ht="24.95" customHeight="1" x14ac:dyDescent="0.4">
      <c r="A760" s="13">
        <v>76911</v>
      </c>
      <c r="B760" s="14">
        <v>46212</v>
      </c>
      <c r="C760" s="15" t="s">
        <v>140</v>
      </c>
      <c r="D760" s="15" t="s">
        <v>25</v>
      </c>
      <c r="E760" s="15" t="s">
        <v>10</v>
      </c>
      <c r="F760" s="16">
        <v>253392000</v>
      </c>
      <c r="G760" s="16">
        <f>F760*$G$1</f>
        <v>177374400</v>
      </c>
      <c r="H760" s="17"/>
    </row>
    <row r="761" spans="1:8" ht="24.95" customHeight="1" x14ac:dyDescent="0.4">
      <c r="A761" s="13">
        <v>77339</v>
      </c>
      <c r="B761" s="14">
        <v>46192</v>
      </c>
      <c r="C761" s="15" t="s">
        <v>116</v>
      </c>
      <c r="D761" s="15" t="s">
        <v>25</v>
      </c>
      <c r="E761" s="15" t="s">
        <v>15</v>
      </c>
      <c r="F761" s="16">
        <v>90094500</v>
      </c>
      <c r="G761" s="16">
        <f>F761*$G$1</f>
        <v>63066149.999999993</v>
      </c>
      <c r="H761" s="17"/>
    </row>
    <row r="762" spans="1:8" ht="24.95" customHeight="1" x14ac:dyDescent="0.4">
      <c r="A762" s="13">
        <v>77785</v>
      </c>
      <c r="B762" s="14">
        <v>46245</v>
      </c>
      <c r="C762" s="15" t="s">
        <v>116</v>
      </c>
      <c r="D762" s="15" t="s">
        <v>25</v>
      </c>
      <c r="E762" s="15" t="s">
        <v>59</v>
      </c>
      <c r="F762" s="16">
        <v>110466000</v>
      </c>
      <c r="G762" s="16">
        <f>F762*$G$1</f>
        <v>77326200</v>
      </c>
      <c r="H762" s="17"/>
    </row>
    <row r="763" spans="1:8" ht="24.95" customHeight="1" x14ac:dyDescent="0.4">
      <c r="A763" s="13">
        <v>77791</v>
      </c>
      <c r="B763" s="14">
        <v>46226</v>
      </c>
      <c r="C763" s="15" t="s">
        <v>363</v>
      </c>
      <c r="D763" s="15" t="s">
        <v>25</v>
      </c>
      <c r="E763" s="15" t="s">
        <v>14</v>
      </c>
      <c r="F763" s="16">
        <v>467121164</v>
      </c>
      <c r="G763" s="16">
        <f>F763*$G$1</f>
        <v>326984814.79999995</v>
      </c>
      <c r="H763" s="17"/>
    </row>
    <row r="764" spans="1:8" ht="24.95" customHeight="1" x14ac:dyDescent="0.4">
      <c r="A764" s="13">
        <v>77060</v>
      </c>
      <c r="B764" s="14">
        <v>46211</v>
      </c>
      <c r="C764" s="15" t="s">
        <v>189</v>
      </c>
      <c r="D764" s="15" t="s">
        <v>25</v>
      </c>
      <c r="E764" s="15" t="s">
        <v>10</v>
      </c>
      <c r="F764" s="16">
        <v>620698689</v>
      </c>
      <c r="G764" s="16">
        <f>F764*$G$1</f>
        <v>434489082.29999995</v>
      </c>
      <c r="H764" s="17"/>
    </row>
    <row r="765" spans="1:8" ht="24.95" customHeight="1" x14ac:dyDescent="0.4">
      <c r="A765" s="13">
        <v>77526</v>
      </c>
      <c r="B765" s="14">
        <v>46199</v>
      </c>
      <c r="C765" s="15" t="s">
        <v>243</v>
      </c>
      <c r="D765" s="15" t="s">
        <v>25</v>
      </c>
      <c r="E765" s="15" t="s">
        <v>14</v>
      </c>
      <c r="F765" s="16">
        <v>92408319.819999993</v>
      </c>
      <c r="G765" s="16">
        <f>F765*$G$1</f>
        <v>64685823.873999991</v>
      </c>
      <c r="H765" s="17"/>
    </row>
    <row r="766" spans="1:8" ht="24.95" customHeight="1" x14ac:dyDescent="0.4">
      <c r="A766" s="13">
        <v>77352</v>
      </c>
      <c r="B766" s="14">
        <v>46196</v>
      </c>
      <c r="C766" s="15" t="s">
        <v>243</v>
      </c>
      <c r="D766" s="15" t="s">
        <v>25</v>
      </c>
      <c r="E766" s="15" t="s">
        <v>37</v>
      </c>
      <c r="F766" s="16">
        <v>52392000</v>
      </c>
      <c r="G766" s="16">
        <f>F766*$G$1</f>
        <v>36674400</v>
      </c>
      <c r="H766" s="17"/>
    </row>
    <row r="767" spans="1:8" ht="24.95" customHeight="1" x14ac:dyDescent="0.4">
      <c r="A767" s="13">
        <v>77649</v>
      </c>
      <c r="B767" s="14">
        <v>46199</v>
      </c>
      <c r="C767" s="15" t="s">
        <v>329</v>
      </c>
      <c r="D767" s="15" t="s">
        <v>25</v>
      </c>
      <c r="E767" s="15" t="s">
        <v>14</v>
      </c>
      <c r="F767" s="16">
        <v>92408319</v>
      </c>
      <c r="G767" s="16">
        <f>F767*$G$1</f>
        <v>64685823.299999997</v>
      </c>
      <c r="H767" s="17"/>
    </row>
    <row r="768" spans="1:8" ht="24.95" customHeight="1" x14ac:dyDescent="0.4">
      <c r="A768" s="13">
        <v>77648</v>
      </c>
      <c r="B768" s="14">
        <v>46197</v>
      </c>
      <c r="C768" s="15" t="s">
        <v>328</v>
      </c>
      <c r="D768" s="15" t="s">
        <v>25</v>
      </c>
      <c r="E768" s="15" t="s">
        <v>8</v>
      </c>
      <c r="F768" s="16">
        <v>184027500</v>
      </c>
      <c r="G768" s="16">
        <f>F768*$G$1</f>
        <v>128819249.99999999</v>
      </c>
      <c r="H768" s="17"/>
    </row>
    <row r="769" spans="1:8" ht="24.95" customHeight="1" x14ac:dyDescent="0.4">
      <c r="A769" s="13">
        <v>77348</v>
      </c>
      <c r="B769" s="14">
        <v>46195</v>
      </c>
      <c r="C769" s="15" t="s">
        <v>188</v>
      </c>
      <c r="D769" s="15" t="s">
        <v>25</v>
      </c>
      <c r="E769" s="15" t="s">
        <v>14</v>
      </c>
      <c r="F769" s="16">
        <v>110688500</v>
      </c>
      <c r="G769" s="16">
        <f>F769*$G$1</f>
        <v>77481950</v>
      </c>
      <c r="H769" s="17"/>
    </row>
    <row r="770" spans="1:8" ht="24.95" customHeight="1" x14ac:dyDescent="0.4">
      <c r="A770" s="13">
        <v>77529</v>
      </c>
      <c r="B770" s="14">
        <v>46211</v>
      </c>
      <c r="C770" s="15" t="s">
        <v>287</v>
      </c>
      <c r="D770" s="15" t="s">
        <v>25</v>
      </c>
      <c r="E770" s="15" t="s">
        <v>15</v>
      </c>
      <c r="F770" s="16">
        <v>85993650</v>
      </c>
      <c r="G770" s="16">
        <f>F770*$G$1</f>
        <v>60195554.999999993</v>
      </c>
      <c r="H770" s="17"/>
    </row>
    <row r="771" spans="1:8" ht="24.95" customHeight="1" x14ac:dyDescent="0.4">
      <c r="A771" s="13">
        <v>77530</v>
      </c>
      <c r="B771" s="14">
        <v>46204</v>
      </c>
      <c r="C771" s="15" t="s">
        <v>287</v>
      </c>
      <c r="D771" s="15" t="s">
        <v>25</v>
      </c>
      <c r="E771" s="15" t="s">
        <v>15</v>
      </c>
      <c r="F771" s="16">
        <v>73168500</v>
      </c>
      <c r="G771" s="16">
        <f>F771*$G$1</f>
        <v>51217950</v>
      </c>
      <c r="H771" s="17"/>
    </row>
    <row r="772" spans="1:8" ht="24.95" customHeight="1" x14ac:dyDescent="0.4">
      <c r="A772" s="13">
        <v>77528</v>
      </c>
      <c r="B772" s="14">
        <v>46218</v>
      </c>
      <c r="C772" s="15" t="s">
        <v>287</v>
      </c>
      <c r="D772" s="15" t="s">
        <v>25</v>
      </c>
      <c r="E772" s="15" t="s">
        <v>14</v>
      </c>
      <c r="F772" s="16">
        <v>122871000</v>
      </c>
      <c r="G772" s="16">
        <f>F772*$G$1</f>
        <v>86009700</v>
      </c>
      <c r="H772" s="17"/>
    </row>
    <row r="773" spans="1:8" ht="24.95" customHeight="1" x14ac:dyDescent="0.4">
      <c r="A773" s="13">
        <v>77537</v>
      </c>
      <c r="B773" s="14">
        <v>46197</v>
      </c>
      <c r="C773" s="15" t="s">
        <v>287</v>
      </c>
      <c r="D773" s="15" t="s">
        <v>25</v>
      </c>
      <c r="E773" s="15" t="s">
        <v>14</v>
      </c>
      <c r="F773" s="16">
        <v>149326000</v>
      </c>
      <c r="G773" s="16">
        <f>F773*$G$1</f>
        <v>104528200</v>
      </c>
      <c r="H773" s="17"/>
    </row>
    <row r="774" spans="1:8" ht="24.95" customHeight="1" x14ac:dyDescent="0.4">
      <c r="A774" s="13">
        <v>77798</v>
      </c>
      <c r="B774" s="14">
        <v>46212</v>
      </c>
      <c r="C774" s="15" t="s">
        <v>287</v>
      </c>
      <c r="D774" s="15" t="s">
        <v>25</v>
      </c>
      <c r="E774" s="15" t="s">
        <v>10</v>
      </c>
      <c r="F774" s="16">
        <v>495960000</v>
      </c>
      <c r="G774" s="16">
        <f>F774*$G$1</f>
        <v>347172000</v>
      </c>
      <c r="H774" s="17"/>
    </row>
    <row r="775" spans="1:8" ht="24.95" customHeight="1" x14ac:dyDescent="0.4">
      <c r="A775" s="13">
        <v>76913</v>
      </c>
      <c r="B775" s="14">
        <v>46197</v>
      </c>
      <c r="C775" s="15" t="s">
        <v>161</v>
      </c>
      <c r="D775" s="15" t="s">
        <v>25</v>
      </c>
      <c r="E775" s="15" t="s">
        <v>9</v>
      </c>
      <c r="F775" s="16">
        <v>588600000</v>
      </c>
      <c r="G775" s="16">
        <f>F775*$G$1</f>
        <v>412020000</v>
      </c>
      <c r="H775" s="17"/>
    </row>
    <row r="776" spans="1:8" ht="24.95" customHeight="1" x14ac:dyDescent="0.4">
      <c r="A776" s="13">
        <v>77662</v>
      </c>
      <c r="B776" s="14">
        <v>46195</v>
      </c>
      <c r="C776" s="15" t="s">
        <v>332</v>
      </c>
      <c r="D776" s="15" t="s">
        <v>25</v>
      </c>
      <c r="E776" s="15" t="s">
        <v>28</v>
      </c>
      <c r="F776" s="16">
        <v>189000000</v>
      </c>
      <c r="G776" s="16">
        <f>F776*$G$1</f>
        <v>132299999.99999999</v>
      </c>
      <c r="H776" s="17"/>
    </row>
    <row r="777" spans="1:8" ht="24.95" customHeight="1" x14ac:dyDescent="0.4">
      <c r="A777" s="13">
        <v>77531</v>
      </c>
      <c r="B777" s="14">
        <v>46205</v>
      </c>
      <c r="C777" s="15" t="s">
        <v>49</v>
      </c>
      <c r="D777" s="15" t="s">
        <v>25</v>
      </c>
      <c r="E777" s="15" t="s">
        <v>197</v>
      </c>
      <c r="F777" s="16">
        <v>46925250</v>
      </c>
      <c r="G777" s="16">
        <f>F777*$G$1</f>
        <v>32847674.999999996</v>
      </c>
      <c r="H777" s="17"/>
    </row>
    <row r="778" spans="1:8" ht="24.95" customHeight="1" x14ac:dyDescent="0.4">
      <c r="A778" s="13">
        <v>76256</v>
      </c>
      <c r="B778" s="14">
        <v>46199</v>
      </c>
      <c r="C778" s="15" t="s">
        <v>49</v>
      </c>
      <c r="D778" s="15" t="s">
        <v>25</v>
      </c>
      <c r="E778" s="15" t="s">
        <v>15</v>
      </c>
      <c r="F778" s="16">
        <v>192325865</v>
      </c>
      <c r="G778" s="16">
        <f>F778*$G$1</f>
        <v>134628105.5</v>
      </c>
      <c r="H778" s="17"/>
    </row>
    <row r="779" spans="1:8" ht="24.95" customHeight="1" x14ac:dyDescent="0.4">
      <c r="A779" s="13">
        <v>77786</v>
      </c>
      <c r="B779" s="14">
        <v>46198</v>
      </c>
      <c r="C779" s="15" t="s">
        <v>49</v>
      </c>
      <c r="D779" s="15" t="s">
        <v>25</v>
      </c>
      <c r="E779" s="15" t="s">
        <v>59</v>
      </c>
      <c r="F779" s="16">
        <v>705974824</v>
      </c>
      <c r="G779" s="16">
        <f>F779*$G$1</f>
        <v>494182376.79999995</v>
      </c>
      <c r="H779" s="17"/>
    </row>
    <row r="780" spans="1:8" ht="24.95" customHeight="1" x14ac:dyDescent="0.4">
      <c r="A780" s="13">
        <v>76304</v>
      </c>
      <c r="B780" s="14">
        <v>46197</v>
      </c>
      <c r="C780" s="15" t="s">
        <v>49</v>
      </c>
      <c r="D780" s="15" t="s">
        <v>25</v>
      </c>
      <c r="E780" s="15" t="s">
        <v>14</v>
      </c>
      <c r="F780" s="16">
        <v>49760000</v>
      </c>
      <c r="G780" s="16">
        <f>F780*$G$1</f>
        <v>34832000</v>
      </c>
      <c r="H780" s="17"/>
    </row>
    <row r="781" spans="1:8" ht="24.95" customHeight="1" x14ac:dyDescent="0.4">
      <c r="A781" s="13">
        <v>77338</v>
      </c>
      <c r="B781" s="14">
        <v>46211</v>
      </c>
      <c r="C781" s="15" t="s">
        <v>49</v>
      </c>
      <c r="D781" s="15" t="s">
        <v>25</v>
      </c>
      <c r="E781" s="15" t="s">
        <v>14</v>
      </c>
      <c r="F781" s="16">
        <v>177423000</v>
      </c>
      <c r="G781" s="16">
        <f>F781*$G$1</f>
        <v>124196099.99999999</v>
      </c>
      <c r="H781" s="17"/>
    </row>
    <row r="782" spans="1:8" ht="24.95" customHeight="1" x14ac:dyDescent="0.4">
      <c r="A782" s="13">
        <v>77347</v>
      </c>
      <c r="B782" s="14">
        <v>46212</v>
      </c>
      <c r="C782" s="15" t="s">
        <v>49</v>
      </c>
      <c r="D782" s="15" t="s">
        <v>25</v>
      </c>
      <c r="E782" s="15" t="s">
        <v>14</v>
      </c>
      <c r="F782" s="16">
        <v>159618980</v>
      </c>
      <c r="G782" s="16">
        <f>F782*$G$1</f>
        <v>111733286</v>
      </c>
      <c r="H782" s="17"/>
    </row>
    <row r="783" spans="1:8" ht="24.95" customHeight="1" x14ac:dyDescent="0.4">
      <c r="A783" s="13">
        <v>77355</v>
      </c>
      <c r="B783" s="14">
        <v>46199</v>
      </c>
      <c r="C783" s="15" t="s">
        <v>49</v>
      </c>
      <c r="D783" s="15" t="s">
        <v>25</v>
      </c>
      <c r="E783" s="15" t="s">
        <v>14</v>
      </c>
      <c r="F783" s="16">
        <v>161337003.03</v>
      </c>
      <c r="G783" s="16">
        <f>F783*$G$1</f>
        <v>112935902.12099999</v>
      </c>
      <c r="H783" s="17"/>
    </row>
    <row r="784" spans="1:8" ht="24.95" customHeight="1" x14ac:dyDescent="0.4">
      <c r="A784" s="13">
        <v>77356</v>
      </c>
      <c r="B784" s="14">
        <v>46219</v>
      </c>
      <c r="C784" s="15" t="s">
        <v>49</v>
      </c>
      <c r="D784" s="15" t="s">
        <v>25</v>
      </c>
      <c r="E784" s="15" t="s">
        <v>14</v>
      </c>
      <c r="F784" s="16">
        <v>93220239.450000003</v>
      </c>
      <c r="G784" s="16">
        <f>F784*$G$1</f>
        <v>65254167.614999995</v>
      </c>
      <c r="H784" s="17"/>
    </row>
    <row r="785" spans="1:8" ht="24.95" customHeight="1" x14ac:dyDescent="0.4">
      <c r="A785" s="13">
        <v>77789</v>
      </c>
      <c r="B785" s="14">
        <v>46206</v>
      </c>
      <c r="C785" s="15" t="s">
        <v>49</v>
      </c>
      <c r="D785" s="15" t="s">
        <v>25</v>
      </c>
      <c r="E785" s="15" t="s">
        <v>14</v>
      </c>
      <c r="F785" s="16">
        <v>189980000</v>
      </c>
      <c r="G785" s="16">
        <f>F785*$G$1</f>
        <v>132985999.99999999</v>
      </c>
      <c r="H785" s="17"/>
    </row>
    <row r="786" spans="1:8" ht="24.95" customHeight="1" x14ac:dyDescent="0.4">
      <c r="A786" s="13">
        <v>77790</v>
      </c>
      <c r="B786" s="14">
        <v>46199</v>
      </c>
      <c r="C786" s="15" t="s">
        <v>49</v>
      </c>
      <c r="D786" s="15" t="s">
        <v>25</v>
      </c>
      <c r="E786" s="15" t="s">
        <v>14</v>
      </c>
      <c r="F786" s="16">
        <v>155126782</v>
      </c>
      <c r="G786" s="16">
        <f>F786*$G$1</f>
        <v>108588747.39999999</v>
      </c>
      <c r="H786" s="17"/>
    </row>
    <row r="787" spans="1:8" ht="24.95" customHeight="1" x14ac:dyDescent="0.4">
      <c r="A787" s="13">
        <v>77515</v>
      </c>
      <c r="B787" s="14">
        <v>46219</v>
      </c>
      <c r="C787" s="15" t="s">
        <v>49</v>
      </c>
      <c r="D787" s="15" t="s">
        <v>25</v>
      </c>
      <c r="E787" s="15" t="s">
        <v>216</v>
      </c>
      <c r="F787" s="16">
        <v>98197500</v>
      </c>
      <c r="G787" s="16">
        <f>F787*$G$1</f>
        <v>68738250</v>
      </c>
      <c r="H787" s="17"/>
    </row>
    <row r="788" spans="1:8" ht="24.95" customHeight="1" x14ac:dyDescent="0.4">
      <c r="A788" s="13">
        <v>77534</v>
      </c>
      <c r="B788" s="14">
        <v>46205</v>
      </c>
      <c r="C788" s="15" t="s">
        <v>49</v>
      </c>
      <c r="D788" s="15" t="s">
        <v>25</v>
      </c>
      <c r="E788" s="15" t="s">
        <v>10</v>
      </c>
      <c r="F788" s="16">
        <v>690016100</v>
      </c>
      <c r="G788" s="16">
        <f>F788*$G$1</f>
        <v>483011269.99999994</v>
      </c>
      <c r="H788" s="17"/>
    </row>
    <row r="789" spans="1:8" ht="24.95" customHeight="1" x14ac:dyDescent="0.4">
      <c r="A789" s="13">
        <v>77351</v>
      </c>
      <c r="B789" s="14">
        <v>46210</v>
      </c>
      <c r="C789" s="15" t="s">
        <v>49</v>
      </c>
      <c r="D789" s="15" t="s">
        <v>25</v>
      </c>
      <c r="E789" s="15" t="s">
        <v>37</v>
      </c>
      <c r="F789" s="16">
        <v>46528500</v>
      </c>
      <c r="G789" s="16">
        <f>F789*$G$1</f>
        <v>32569949.999999996</v>
      </c>
      <c r="H789" s="17"/>
    </row>
    <row r="790" spans="1:8" ht="24.95" customHeight="1" x14ac:dyDescent="0.4">
      <c r="A790" s="13">
        <v>76396</v>
      </c>
      <c r="B790" s="14">
        <v>46240</v>
      </c>
      <c r="C790" s="15" t="s">
        <v>129</v>
      </c>
      <c r="D790" s="15" t="s">
        <v>25</v>
      </c>
      <c r="E790" s="15" t="s">
        <v>14</v>
      </c>
      <c r="F790" s="16">
        <v>81029993</v>
      </c>
      <c r="G790" s="16">
        <f>F790*$G$1</f>
        <v>56720995.099999994</v>
      </c>
      <c r="H790" s="17"/>
    </row>
    <row r="791" spans="1:8" ht="24.95" customHeight="1" x14ac:dyDescent="0.4">
      <c r="A791" s="13">
        <v>77010</v>
      </c>
      <c r="B791" s="14">
        <v>46191</v>
      </c>
      <c r="C791" s="15" t="s">
        <v>129</v>
      </c>
      <c r="D791" s="15" t="s">
        <v>25</v>
      </c>
      <c r="E791" s="15" t="s">
        <v>10</v>
      </c>
      <c r="F791" s="16">
        <v>53460000</v>
      </c>
      <c r="G791" s="16">
        <f>F791*$G$1</f>
        <v>37422000</v>
      </c>
      <c r="H791" s="17"/>
    </row>
    <row r="792" spans="1:8" ht="24.95" customHeight="1" x14ac:dyDescent="0.4">
      <c r="A792" s="13">
        <v>77524</v>
      </c>
      <c r="B792" s="14">
        <v>46199</v>
      </c>
      <c r="C792" s="15" t="s">
        <v>286</v>
      </c>
      <c r="D792" s="15" t="s">
        <v>25</v>
      </c>
      <c r="E792" s="15" t="s">
        <v>14</v>
      </c>
      <c r="F792" s="16">
        <v>334486425</v>
      </c>
      <c r="G792" s="16">
        <f>F792*$G$1</f>
        <v>234140497.5</v>
      </c>
      <c r="H792" s="17"/>
    </row>
    <row r="793" spans="1:8" ht="24.95" customHeight="1" x14ac:dyDescent="0.4">
      <c r="A793" s="13">
        <v>77525</v>
      </c>
      <c r="B793" s="14">
        <v>46199</v>
      </c>
      <c r="C793" s="15" t="s">
        <v>286</v>
      </c>
      <c r="D793" s="15" t="s">
        <v>25</v>
      </c>
      <c r="E793" s="15" t="s">
        <v>14</v>
      </c>
      <c r="F793" s="16">
        <v>213839348</v>
      </c>
      <c r="G793" s="16">
        <f>F793*$G$1</f>
        <v>149687543.59999999</v>
      </c>
      <c r="H793" s="17"/>
    </row>
    <row r="794" spans="1:8" ht="24.95" customHeight="1" x14ac:dyDescent="0.4">
      <c r="A794" s="13">
        <v>77788</v>
      </c>
      <c r="B794" s="14">
        <v>46209</v>
      </c>
      <c r="C794" s="15" t="s">
        <v>60</v>
      </c>
      <c r="D794" s="15" t="s">
        <v>25</v>
      </c>
      <c r="E794" s="15" t="s">
        <v>14</v>
      </c>
      <c r="F794" s="16">
        <v>132036748</v>
      </c>
      <c r="G794" s="16">
        <f>F794*$G$1</f>
        <v>92425723.599999994</v>
      </c>
      <c r="H794" s="17"/>
    </row>
    <row r="795" spans="1:8" ht="24.95" customHeight="1" x14ac:dyDescent="0.4">
      <c r="A795" s="13">
        <v>77823</v>
      </c>
      <c r="B795" s="14">
        <v>46204</v>
      </c>
      <c r="C795" s="15" t="s">
        <v>60</v>
      </c>
      <c r="D795" s="15" t="s">
        <v>25</v>
      </c>
      <c r="E795" s="15" t="s">
        <v>10</v>
      </c>
      <c r="F795" s="16">
        <v>463043145</v>
      </c>
      <c r="G795" s="16">
        <v>463043145</v>
      </c>
      <c r="H795" s="17"/>
    </row>
    <row r="796" spans="1:8" ht="24.95" customHeight="1" x14ac:dyDescent="0.4">
      <c r="A796" s="13">
        <v>76393</v>
      </c>
      <c r="B796" s="14">
        <v>46282</v>
      </c>
      <c r="C796" s="15" t="s">
        <v>60</v>
      </c>
      <c r="D796" s="15" t="s">
        <v>25</v>
      </c>
      <c r="E796" s="15" t="s">
        <v>44</v>
      </c>
      <c r="F796" s="16">
        <v>50268000</v>
      </c>
      <c r="G796" s="16">
        <f>F796*$G$1</f>
        <v>35187600</v>
      </c>
      <c r="H796" s="17"/>
    </row>
    <row r="797" spans="1:8" ht="24.95" customHeight="1" x14ac:dyDescent="0.4">
      <c r="A797" s="13">
        <v>77564</v>
      </c>
      <c r="B797" s="14">
        <v>46198</v>
      </c>
      <c r="C797" s="15" t="s">
        <v>296</v>
      </c>
      <c r="D797" s="15" t="s">
        <v>25</v>
      </c>
      <c r="E797" s="15" t="s">
        <v>8</v>
      </c>
      <c r="F797" s="16">
        <v>154242000</v>
      </c>
      <c r="G797" s="16">
        <f>F797*$G$1</f>
        <v>107969400</v>
      </c>
      <c r="H797" s="17"/>
    </row>
    <row r="798" spans="1:8" ht="24.95" customHeight="1" x14ac:dyDescent="0.4">
      <c r="A798" s="13">
        <v>77363</v>
      </c>
      <c r="B798" s="14">
        <v>46203</v>
      </c>
      <c r="C798" s="15" t="s">
        <v>245</v>
      </c>
      <c r="D798" s="15" t="s">
        <v>246</v>
      </c>
      <c r="E798" s="15" t="s">
        <v>7</v>
      </c>
      <c r="F798" s="16">
        <v>787141000</v>
      </c>
      <c r="G798" s="16">
        <f>F798*$G$1</f>
        <v>550998700</v>
      </c>
      <c r="H798" s="17"/>
    </row>
  </sheetData>
  <autoFilter ref="A2:H798">
    <sortState ref="A3:H798">
      <sortCondition ref="D2:D798"/>
    </sortState>
  </autoFilter>
  <pageMargins left="0.23622047244094491" right="0.23622047244094491" top="0.35433070866141736" bottom="0.35433070866141736" header="0" footer="0"/>
  <pageSetup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B9FC90-FA60-43B4-AB3A-7B2DF4DEBE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REMATES JUDICIALES </vt:lpstr>
      <vt:lpstr>'REMATES JUDICIALES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YHOANA</dc:creator>
  <cp:lastModifiedBy>YHOANA</cp:lastModifiedBy>
  <cp:lastPrinted>2025-01-01T16:19:46Z</cp:lastPrinted>
  <dcterms:created xsi:type="dcterms:W3CDTF">2023-05-03T01:17:27Z</dcterms:created>
  <dcterms:modified xsi:type="dcterms:W3CDTF">2026-06-17T21:40:28Z</dcterms:modified>
</cp:coreProperties>
</file>